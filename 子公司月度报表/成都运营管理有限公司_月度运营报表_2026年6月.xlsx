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成都运营管理有限公司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成都运营管理有限公司</t>
        </is>
      </c>
    </row>
    <row r="6">
      <c r="A6" s="3" t="inlineStr">
        <is>
          <t>所属区域</t>
        </is>
      </c>
      <c r="B6" s="4" t="inlineStr">
        <is>
          <t>西南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谢鹏</t>
        </is>
      </c>
    </row>
    <row r="11">
      <c r="A11" s="3" t="inlineStr">
        <is>
          <t>财务负责人</t>
        </is>
      </c>
      <c r="B11" s="4" t="inlineStr">
        <is>
          <t>唐敏</t>
        </is>
      </c>
    </row>
    <row r="12">
      <c r="A12" s="3" t="inlineStr">
        <is>
          <t>编　　制</t>
        </is>
      </c>
      <c r="B12" s="4" t="inlineStr">
        <is>
          <t>蒋勇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1809.4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221.6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15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135</v>
      </c>
      <c r="D12" s="22" t="n">
        <v>14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0.9350000000000001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0.886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9250784</v>
      </c>
      <c r="C5" s="23" t="n">
        <v>8100511</v>
      </c>
      <c r="D5" s="23" t="n">
        <v>9391659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4926808</v>
      </c>
      <c r="C6" s="23" t="n">
        <v>4314193</v>
      </c>
      <c r="D6" s="23" t="n">
        <v>5001836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2746934</v>
      </c>
      <c r="C7" s="23" t="n">
        <v>2405371</v>
      </c>
      <c r="D7" s="23" t="n">
        <v>2788765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1538788</v>
      </c>
      <c r="C8" s="23" t="n">
        <v>1347450</v>
      </c>
      <c r="D8" s="23" t="n">
        <v>1562221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10789258</v>
      </c>
      <c r="C10" s="23" t="n">
        <v>9447687</v>
      </c>
      <c r="D10" s="23" t="n">
        <v>10953561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696415</v>
      </c>
      <c r="C11" s="23" t="n">
        <v>609820</v>
      </c>
      <c r="D11" s="23" t="n">
        <v>707020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2824472</v>
      </c>
      <c r="C13" s="23" t="n">
        <v>2473268</v>
      </c>
      <c r="D13" s="23" t="n">
        <v>2867484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2283637</v>
      </c>
      <c r="C14" s="23" t="n">
        <v>1999682</v>
      </c>
      <c r="D14" s="23" t="n">
        <v>2318413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3440509</v>
      </c>
      <c r="C15" s="23" t="n">
        <v>3012705</v>
      </c>
      <c r="D15" s="23" t="n">
        <v>3492903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18084</v>
      </c>
      <c r="C16" s="23" t="n">
        <v>15835</v>
      </c>
      <c r="D16" s="23" t="n">
        <v>18359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151919</v>
      </c>
      <c r="C19" s="23" t="n">
        <v>133029</v>
      </c>
      <c r="D19" s="23" t="n">
        <v>154232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4073737</v>
      </c>
      <c r="C5" s="23" t="n">
        <v>4235127</v>
      </c>
      <c r="D5" s="21">
        <f>C5/B5</f>
        <v/>
      </c>
      <c r="E5" s="23" t="n">
        <v>3708518</v>
      </c>
      <c r="F5" s="23" t="n">
        <v>4299621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3018054</v>
      </c>
      <c r="C6" s="23" t="n">
        <v>3200739</v>
      </c>
      <c r="D6" s="21">
        <f>C6/B6</f>
        <v/>
      </c>
      <c r="E6" s="23" t="n">
        <v>2802749</v>
      </c>
      <c r="F6" s="23" t="n">
        <v>3249481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2650197</v>
      </c>
      <c r="C7" s="23" t="n">
        <v>2656310</v>
      </c>
      <c r="D7" s="21">
        <f>C7/B7</f>
        <v/>
      </c>
      <c r="E7" s="23" t="n">
        <v>2326016</v>
      </c>
      <c r="F7" s="23" t="n">
        <v>2696761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1968529</v>
      </c>
      <c r="C8" s="23" t="n">
        <v>2066327</v>
      </c>
      <c r="D8" s="21">
        <f>C8/B8</f>
        <v/>
      </c>
      <c r="E8" s="23" t="n">
        <v>1809393</v>
      </c>
      <c r="F8" s="23" t="n">
        <v>2097794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2156794</v>
      </c>
      <c r="C9" s="23" t="n">
        <v>2221107</v>
      </c>
      <c r="D9" s="21">
        <f>C9/B9</f>
        <v/>
      </c>
      <c r="E9" s="23" t="n">
        <v>1944927</v>
      </c>
      <c r="F9" s="23" t="n">
        <v>2254931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5667126</v>
      </c>
      <c r="C16" s="21">
        <f>B16/$B$20</f>
        <v/>
      </c>
    </row>
    <row r="17">
      <c r="A17" s="4" t="inlineStr">
        <is>
          <t>周边省份</t>
        </is>
      </c>
      <c r="B17" s="23" t="n">
        <v>3787668</v>
      </c>
      <c r="C17" s="21">
        <f>B17/$B$20</f>
        <v/>
      </c>
    </row>
    <row r="18">
      <c r="A18" s="4" t="inlineStr">
        <is>
          <t>线上直销</t>
        </is>
      </c>
      <c r="B18" s="23" t="n">
        <v>2689150</v>
      </c>
      <c r="C18" s="21">
        <f>B18/$B$20</f>
        <v/>
      </c>
    </row>
    <row r="19">
      <c r="A19" s="4" t="inlineStr">
        <is>
          <t>渠道代理</t>
        </is>
      </c>
      <c r="B19" s="23" t="n">
        <v>2266924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6</v>
      </c>
      <c r="C5" s="22" t="n">
        <v>0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1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0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4</v>
      </c>
    </row>
    <row r="15">
      <c r="A15" s="4" t="inlineStr">
        <is>
          <t>已到岗(人)</t>
        </is>
      </c>
      <c r="B15" s="41" t="n">
        <v>3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18.5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1679</v>
      </c>
      <c r="C5" s="22" t="n">
        <v>1650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0.8411999999999999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45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0.9927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0.8319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0.9350000000000001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0.886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0.967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唐敏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2026-07-15T10:50:47Z</dcterms:created>
  <dcterms:modified xsi:type="dcterms:W3CDTF">2026-07-15T10:50:48Z</dcterms:modified>
</cp:coreProperties>
</file>