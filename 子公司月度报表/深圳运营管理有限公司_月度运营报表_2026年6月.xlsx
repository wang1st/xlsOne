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深圳运营管理有限公司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深圳运营管理有限公司</t>
        </is>
      </c>
    </row>
    <row r="6">
      <c r="A6" s="3" t="inlineStr">
        <is>
          <t>所属区域</t>
        </is>
      </c>
      <c r="B6" s="4" t="inlineStr">
        <is>
          <t>华南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陈航</t>
        </is>
      </c>
    </row>
    <row r="11">
      <c r="A11" s="3" t="inlineStr">
        <is>
          <t>财务负责人</t>
        </is>
      </c>
      <c r="B11" s="4" t="inlineStr">
        <is>
          <t>黄敏</t>
        </is>
      </c>
    </row>
    <row r="12">
      <c r="A12" s="3" t="inlineStr">
        <is>
          <t>编　　制</t>
        </is>
      </c>
      <c r="B12" s="4" t="inlineStr">
        <is>
          <t>刘洋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3439.9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421.2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0.2125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30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261</v>
      </c>
      <c r="D12" s="22" t="n">
        <v>27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0.9512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0.8777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17461315</v>
      </c>
      <c r="C5" s="23" t="n">
        <v>14395148</v>
      </c>
      <c r="D5" s="23" t="n">
        <v>16318986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9624340</v>
      </c>
      <c r="C6" s="23" t="n">
        <v>7934328</v>
      </c>
      <c r="D6" s="23" t="n">
        <v>8994710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5246261</v>
      </c>
      <c r="C7" s="23" t="n">
        <v>4325030</v>
      </c>
      <c r="D7" s="23" t="n">
        <v>4903048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2769427</v>
      </c>
      <c r="C8" s="23" t="n">
        <v>2283122</v>
      </c>
      <c r="D8" s="23" t="n">
        <v>2588250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22212827</v>
      </c>
      <c r="C10" s="23" t="n">
        <v>18312306</v>
      </c>
      <c r="D10" s="23" t="n">
        <v>20759651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1069424</v>
      </c>
      <c r="C11" s="23" t="n">
        <v>881636</v>
      </c>
      <c r="D11" s="23" t="n">
        <v>999462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6216782</v>
      </c>
      <c r="C13" s="23" t="n">
        <v>5125129</v>
      </c>
      <c r="D13" s="23" t="n">
        <v>5810077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4152460</v>
      </c>
      <c r="C14" s="23" t="n">
        <v>3423298</v>
      </c>
      <c r="D14" s="23" t="n">
        <v>3880804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6474614</v>
      </c>
      <c r="C15" s="23" t="n">
        <v>5337687</v>
      </c>
      <c r="D15" s="23" t="n">
        <v>6051041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-608090</v>
      </c>
      <c r="C16" s="23" t="n">
        <v>-501311</v>
      </c>
      <c r="D16" s="23" t="n">
        <v>-568308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495858</v>
      </c>
      <c r="C19" s="23" t="n">
        <v>408786</v>
      </c>
      <c r="D19" s="23" t="n">
        <v>463419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B20*0.25</f>
        <v/>
      </c>
      <c r="C21" s="23">
        <f>C20*0.25</f>
        <v/>
      </c>
      <c r="D21" s="23">
        <f>D20*0.25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9034351</v>
      </c>
      <c r="C5" s="23" t="n">
        <v>8587460</v>
      </c>
      <c r="D5" s="21">
        <f>C5/B5</f>
        <v/>
      </c>
      <c r="E5" s="23" t="n">
        <v>7079522</v>
      </c>
      <c r="F5" s="23" t="n">
        <v>8025664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6357829</v>
      </c>
      <c r="C6" s="23" t="n">
        <v>6128456</v>
      </c>
      <c r="D6" s="21">
        <f>C6/B6</f>
        <v/>
      </c>
      <c r="E6" s="23" t="n">
        <v>5052313</v>
      </c>
      <c r="F6" s="23" t="n">
        <v>5727529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4923478</v>
      </c>
      <c r="C7" s="23" t="n">
        <v>5138886</v>
      </c>
      <c r="D7" s="21">
        <f>C7/B7</f>
        <v/>
      </c>
      <c r="E7" s="23" t="n">
        <v>4236509</v>
      </c>
      <c r="F7" s="23" t="n">
        <v>4802697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4188881</v>
      </c>
      <c r="C8" s="23" t="n">
        <v>4106368</v>
      </c>
      <c r="D8" s="21">
        <f>C8/B8</f>
        <v/>
      </c>
      <c r="E8" s="23" t="n">
        <v>3385299</v>
      </c>
      <c r="F8" s="23" t="n">
        <v>3837727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4798145</v>
      </c>
      <c r="C9" s="23" t="n">
        <v>4564040</v>
      </c>
      <c r="D9" s="21">
        <f>C9/B9</f>
        <v/>
      </c>
      <c r="E9" s="23" t="n">
        <v>3762605</v>
      </c>
      <c r="F9" s="23" t="n">
        <v>4265458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10496160</v>
      </c>
      <c r="C16" s="21">
        <f>B16/$B$20</f>
        <v/>
      </c>
    </row>
    <row r="17">
      <c r="A17" s="4" t="inlineStr">
        <is>
          <t>周边省份</t>
        </is>
      </c>
      <c r="B17" s="23" t="n">
        <v>7974139</v>
      </c>
      <c r="C17" s="21">
        <f>B17/$B$20</f>
        <v/>
      </c>
    </row>
    <row r="18">
      <c r="A18" s="4" t="inlineStr">
        <is>
          <t>线上直销</t>
        </is>
      </c>
      <c r="B18" s="23" t="n">
        <v>5879298</v>
      </c>
      <c r="C18" s="21">
        <f>B18/$B$20</f>
        <v/>
      </c>
    </row>
    <row r="19">
      <c r="A19" s="4" t="inlineStr">
        <is>
          <t>渠道代理</t>
        </is>
      </c>
      <c r="B19" s="23" t="n">
        <v>4513109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12</v>
      </c>
      <c r="C5" s="22" t="n">
        <v>1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6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4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4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6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27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2791</v>
      </c>
      <c r="C5" s="22" t="n">
        <v>3190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0.8915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35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0.9846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0.8708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0.9512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0.8777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0.9389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黄敏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2026-07-15T10:50:43Z</dcterms:created>
  <dcterms:modified xsi:type="dcterms:W3CDTF">2026-07-15T10:50:43Z</dcterms:modified>
</cp:coreProperties>
</file>