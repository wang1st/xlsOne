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报表封面" sheetId="1" state="visible" r:id="rId1"/>
    <sheet name="经营概览" sheetId="2" state="visible" r:id="rId2"/>
    <sheet name="财务分析" sheetId="3" state="visible" r:id="rId3"/>
    <sheet name="销售分析" sheetId="4" state="visible" r:id="rId4"/>
    <sheet name="人力资源" sheetId="5" state="visible" r:id="rId5"/>
    <sheet name="运营效率" sheetId="6" state="visible" r:id="rId6"/>
    <sheet name="风险与事项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¥#,##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595959"/>
      <sz val="10"/>
    </font>
    <font>
      <name val="微软雅黑"/>
      <b val="1"/>
      <color rgb="00FFFFFF"/>
      <sz val="11"/>
    </font>
    <font>
      <name val="微软雅黑"/>
      <color rgb="00000000"/>
      <sz val="11"/>
    </font>
    <font>
      <name val="微软雅黑"/>
      <b val="1"/>
      <color rgb="00000000"/>
      <sz val="11"/>
    </font>
    <font>
      <name val="微软雅黑"/>
      <i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1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/>
      <right style="thin">
        <color rgb="00BFBFBF"/>
      </right>
      <top/>
      <bottom/>
      <diagonal/>
    </border>
    <border>
      <left style="thin">
        <color rgb="00BFBFBF"/>
      </left>
      <right/>
      <top/>
      <bottom style="thin">
        <color rgb="00BFBFBF"/>
      </bottom>
      <diagonal/>
    </border>
    <border>
      <left/>
      <right/>
      <top/>
      <bottom style="thin">
        <color rgb="00BFBFBF"/>
      </bottom>
      <diagonal/>
    </border>
    <border>
      <left/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5" fontId="5" fillId="5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166" fontId="5" fillId="6" borderId="1" applyAlignment="1" pivotButton="0" quotePrefix="0" xfId="0">
      <alignment horizontal="left" vertical="center"/>
    </xf>
    <xf numFmtId="165" fontId="5" fillId="6" borderId="1" applyAlignment="1" pivotButton="0" quotePrefix="0" xfId="0">
      <alignment horizontal="center" vertical="center"/>
    </xf>
    <xf numFmtId="166" fontId="5" fillId="0" borderId="1" applyAlignment="1" pivotButton="0" quotePrefix="0" xfId="0">
      <alignment horizontal="left" vertical="center"/>
    </xf>
    <xf numFmtId="165" fontId="5" fillId="0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165" fontId="5" fillId="7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164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left" vertical="center"/>
    </xf>
    <xf numFmtId="165" fontId="5" fillId="4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3" fontId="5" fillId="5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收入构成（本月）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'财务分析'!$A$5:$A$8</f>
            </numRef>
          </cat>
          <val>
            <numRef>
              <f>'财务分析'!$B$5:$B$8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各产品线 目标 vs 实际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'销售分析'!B4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'销售分析'!$B$5:$B$9</f>
            </numRef>
          </val>
        </ser>
        <ser>
          <idx val="1"/>
          <order val="1"/>
          <tx>
            <strRef>
              <f>'销售分析'!C4</f>
            </strRef>
          </tx>
          <spPr>
            <a:ln>
              <a:prstDash val="solid"/>
            </a:ln>
          </spPr>
          <cat>
            <numRef>
              <f>'销售分析'!$A$5:$A$9</f>
            </numRef>
          </cat>
          <val>
            <numRef>
              <f>'销售分析'!$C$5:$C$9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区域销售占比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'销售分析'!$A$16:$A$19</f>
            </numRef>
          </cat>
          <val>
            <numRef>
              <f>'销售分析'!$B$16:$B$19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各部门月末人数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'人力资源'!E4</f>
            </strRef>
          </tx>
          <spPr>
            <a:ln>
              <a:prstDash val="solid"/>
            </a:ln>
          </spPr>
          <cat>
            <numRef>
              <f>'人力资源'!$A$5:$A$10</f>
            </numRef>
          </cat>
          <val>
            <numRef>
              <f>'人力资源'!$E$5:$E$10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人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本月值 vs 目标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'运营效率'!B4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'运营效率'!$B$5:$B$12</f>
            </numRef>
          </val>
        </ser>
        <ser>
          <idx val="1"/>
          <order val="1"/>
          <tx>
            <strRef>
              <f>'运营效率'!C4</f>
            </strRef>
          </tx>
          <spPr>
            <a:ln>
              <a:prstDash val="solid"/>
            </a:ln>
          </spPr>
          <cat>
            <numRef>
              <f>'运营效率'!$A$5:$A$12</f>
            </numRef>
          </cat>
          <val>
            <numRef>
              <f>'运营效率'!$C$5:$C$12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数值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chart" Target="/xl/charts/chart3.xml" Id="rId2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6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8" customWidth="1" min="3" max="3"/>
    <col width="16" customWidth="1" min="4" max="4"/>
    <col width="16" customWidth="1" min="5" max="5"/>
    <col width="16" customWidth="1" min="6" max="6"/>
  </cols>
  <sheetData>
    <row r="1" ht="30" customHeight="1">
      <c r="A1" s="1" t="inlineStr">
        <is>
          <t>子公司月度运营报表</t>
        </is>
      </c>
    </row>
    <row r="2" ht="18" customHeight="1">
      <c r="A2" s="2" t="inlineStr">
        <is>
          <t>长沙运营管理有限公司  |  2026年6月</t>
        </is>
      </c>
    </row>
    <row r="4">
      <c r="A4" s="3" t="inlineStr">
        <is>
          <t>报表名称</t>
        </is>
      </c>
      <c r="B4" s="4" t="inlineStr">
        <is>
          <t>子公司月度运营报表（2026年6月）</t>
        </is>
      </c>
    </row>
    <row r="5">
      <c r="A5" s="3" t="inlineStr">
        <is>
          <t>编制单位</t>
        </is>
      </c>
      <c r="B5" s="4" t="inlineStr">
        <is>
          <t>长沙运营管理有限公司</t>
        </is>
      </c>
    </row>
    <row r="6">
      <c r="A6" s="3" t="inlineStr">
        <is>
          <t>所属区域</t>
        </is>
      </c>
      <c r="B6" s="4" t="inlineStr">
        <is>
          <t>华中</t>
        </is>
      </c>
    </row>
    <row r="7">
      <c r="A7" s="3" t="inlineStr">
        <is>
          <t>报告期间</t>
        </is>
      </c>
      <c r="B7" s="4" t="inlineStr">
        <is>
          <t>2026年6月</t>
        </is>
      </c>
    </row>
    <row r="8">
      <c r="A8" s="3" t="inlineStr">
        <is>
          <t>报告类型</t>
        </is>
      </c>
      <c r="B8" s="4" t="inlineStr">
        <is>
          <t>月度运营分析</t>
        </is>
      </c>
    </row>
    <row r="9">
      <c r="A9" s="3" t="inlineStr">
        <is>
          <t>密　　级</t>
        </is>
      </c>
      <c r="B9" s="4" t="inlineStr">
        <is>
          <t>内部资料 · 请勿外传</t>
        </is>
      </c>
    </row>
    <row r="10">
      <c r="A10" s="3" t="inlineStr">
        <is>
          <t>法定代表人</t>
        </is>
      </c>
      <c r="B10" s="4" t="inlineStr">
        <is>
          <t>唐磊</t>
        </is>
      </c>
    </row>
    <row r="11">
      <c r="A11" s="3" t="inlineStr">
        <is>
          <t>财务负责人</t>
        </is>
      </c>
      <c r="B11" s="4" t="inlineStr">
        <is>
          <t>韩雪</t>
        </is>
      </c>
    </row>
    <row r="12">
      <c r="A12" s="3" t="inlineStr">
        <is>
          <t>编　　制</t>
        </is>
      </c>
      <c r="B12" s="4" t="inlineStr">
        <is>
          <t>邓超</t>
        </is>
      </c>
    </row>
    <row r="13">
      <c r="A13" s="3" t="inlineStr">
        <is>
          <t>编制日期</t>
        </is>
      </c>
      <c r="B13" s="4" t="inlineStr">
        <is>
          <t>2026-07-15</t>
        </is>
      </c>
    </row>
    <row r="15">
      <c r="A15" s="5" t="inlineStr">
        <is>
          <t>目　录</t>
        </is>
      </c>
      <c r="B15" s="6" t="n"/>
      <c r="C15" s="6" t="n"/>
      <c r="D15" s="6" t="n"/>
      <c r="E15" s="6" t="n"/>
      <c r="F15" s="7" t="n"/>
    </row>
    <row r="16">
      <c r="A16" s="4" t="inlineStr">
        <is>
          <t>1. 经营概览</t>
        </is>
      </c>
      <c r="B16" s="6" t="n"/>
      <c r="C16" s="6" t="n"/>
      <c r="D16" s="6" t="n"/>
      <c r="E16" s="6" t="n"/>
      <c r="F16" s="7" t="n"/>
    </row>
    <row r="17">
      <c r="A17" s="4" t="inlineStr">
        <is>
          <t>2. 财务分析</t>
        </is>
      </c>
      <c r="B17" s="6" t="n"/>
      <c r="C17" s="6" t="n"/>
      <c r="D17" s="6" t="n"/>
      <c r="E17" s="6" t="n"/>
      <c r="F17" s="7" t="n"/>
    </row>
    <row r="18">
      <c r="A18" s="4" t="inlineStr">
        <is>
          <t>3. 销售分析</t>
        </is>
      </c>
      <c r="B18" s="6" t="n"/>
      <c r="C18" s="6" t="n"/>
      <c r="D18" s="6" t="n"/>
      <c r="E18" s="6" t="n"/>
      <c r="F18" s="7" t="n"/>
    </row>
    <row r="19">
      <c r="A19" s="4" t="inlineStr">
        <is>
          <t>4. 人力资源</t>
        </is>
      </c>
      <c r="B19" s="6" t="n"/>
      <c r="C19" s="6" t="n"/>
      <c r="D19" s="6" t="n"/>
      <c r="E19" s="6" t="n"/>
      <c r="F19" s="7" t="n"/>
    </row>
    <row r="20">
      <c r="A20" s="4" t="inlineStr">
        <is>
          <t>5. 运营效率</t>
        </is>
      </c>
      <c r="B20" s="6" t="n"/>
      <c r="C20" s="6" t="n"/>
      <c r="D20" s="6" t="n"/>
      <c r="E20" s="6" t="n"/>
      <c r="F20" s="7" t="n"/>
    </row>
    <row r="21">
      <c r="A21" s="4" t="inlineStr">
        <is>
          <t>6. 风险与事项</t>
        </is>
      </c>
      <c r="B21" s="6" t="n"/>
      <c r="C21" s="6" t="n"/>
      <c r="D21" s="6" t="n"/>
      <c r="E21" s="6" t="n"/>
      <c r="F21" s="7" t="n"/>
    </row>
    <row r="23">
      <c r="A23" s="8" t="inlineStr">
        <is>
          <t>数据说明：</t>
        </is>
      </c>
      <c r="B23" s="6" t="n"/>
      <c r="C23" s="6" t="n"/>
      <c r="D23" s="6" t="n"/>
      <c r="E23" s="6" t="n"/>
      <c r="F23" s="7" t="n"/>
    </row>
    <row r="24">
      <c r="A24" s="9" t="inlineStr">
        <is>
          <t>本报表数据来源于各业务系统月度结账结果，金额单位为人民币元；财务、销售、人力、运营各 sheet 间通过公式联动（如经营概览引用财务/销售/人力关键指标）。同比＝本月÷上年同期－1，环比＝本月÷上月－1。占比类指标为结构占比。</t>
        </is>
      </c>
      <c r="B24" s="10" t="n"/>
      <c r="C24" s="10" t="n"/>
      <c r="D24" s="10" t="n"/>
      <c r="E24" s="10" t="n"/>
      <c r="F24" s="11" t="n"/>
    </row>
    <row r="25">
      <c r="A25" s="12" t="n"/>
      <c r="F25" s="13" t="n"/>
    </row>
    <row r="26">
      <c r="A26" s="14" t="n"/>
      <c r="B26" s="15" t="n"/>
      <c r="C26" s="15" t="n"/>
      <c r="D26" s="15" t="n"/>
      <c r="E26" s="15" t="n"/>
      <c r="F26" s="16" t="n"/>
    </row>
  </sheetData>
  <mergeCells count="21">
    <mergeCell ref="B4:F4"/>
    <mergeCell ref="A16:F16"/>
    <mergeCell ref="B7:F7"/>
    <mergeCell ref="A18:F18"/>
    <mergeCell ref="A21:F21"/>
    <mergeCell ref="A2:F2"/>
    <mergeCell ref="B12:F12"/>
    <mergeCell ref="B11:F11"/>
    <mergeCell ref="A23:F23"/>
    <mergeCell ref="A17:F17"/>
    <mergeCell ref="B8:F8"/>
    <mergeCell ref="A20:F20"/>
    <mergeCell ref="B13:F13"/>
    <mergeCell ref="A19:F19"/>
    <mergeCell ref="B10:F10"/>
    <mergeCell ref="A15:F15"/>
    <mergeCell ref="B9:F9"/>
    <mergeCell ref="A24:F26"/>
    <mergeCell ref="B6:F6"/>
    <mergeCell ref="A1:F1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0" customHeight="1">
      <c r="A1" s="1" t="inlineStr">
        <is>
          <t>经营概览 · 关键绩效指标</t>
        </is>
      </c>
    </row>
    <row r="2" ht="18" customHeight="1">
      <c r="A2" s="2" t="inlineStr">
        <is>
          <t>2026年6月  |  目标 / 实际 / 达成 / 同比 / 环比</t>
        </is>
      </c>
    </row>
    <row r="4" ht="24" customHeight="1">
      <c r="A4" s="17" t="inlineStr">
        <is>
          <t>指标</t>
        </is>
      </c>
      <c r="B4" s="17" t="inlineStr">
        <is>
          <t>单位</t>
        </is>
      </c>
      <c r="C4" s="17" t="inlineStr">
        <is>
          <t>目标</t>
        </is>
      </c>
      <c r="D4" s="17" t="inlineStr">
        <is>
          <t>实际</t>
        </is>
      </c>
      <c r="E4" s="17" t="inlineStr">
        <is>
          <t>达成率</t>
        </is>
      </c>
      <c r="F4" s="17" t="inlineStr">
        <is>
          <t>同比</t>
        </is>
      </c>
      <c r="G4" s="17" t="inlineStr">
        <is>
          <t>环比</t>
        </is>
      </c>
      <c r="H4" s="17" t="inlineStr">
        <is>
          <t>评价</t>
        </is>
      </c>
    </row>
    <row r="5">
      <c r="A5" s="18" t="inlineStr">
        <is>
          <t>营业收入</t>
        </is>
      </c>
      <c r="B5" s="19" t="inlineStr">
        <is>
          <t>万元</t>
        </is>
      </c>
      <c r="C5" s="20" t="n">
        <v>2168.9</v>
      </c>
      <c r="D5" s="20">
        <f>'财务分析'!B27</f>
        <v/>
      </c>
      <c r="E5" s="21">
        <f>D5/C5</f>
        <v/>
      </c>
      <c r="F5" s="21">
        <f>'财务分析'!E9</f>
        <v/>
      </c>
      <c r="G5" s="21">
        <f>'财务分析'!F9</f>
        <v/>
      </c>
      <c r="H5" s="9" t="inlineStr">
        <is>
          <t>目标值由总部核定</t>
        </is>
      </c>
    </row>
    <row r="6">
      <c r="A6" s="18" t="inlineStr">
        <is>
          <t>净利润</t>
        </is>
      </c>
      <c r="B6" s="19" t="inlineStr">
        <is>
          <t>万元</t>
        </is>
      </c>
      <c r="C6" s="20" t="n">
        <v>265.6</v>
      </c>
      <c r="D6" s="20">
        <f>'财务分析'!B28</f>
        <v/>
      </c>
      <c r="E6" s="21">
        <f>D6/C6</f>
        <v/>
      </c>
      <c r="F6" s="21">
        <f>'财务分析'!E22</f>
        <v/>
      </c>
      <c r="G6" s="21">
        <f>'财务分析'!F22</f>
        <v/>
      </c>
      <c r="H6" s="9" t="inlineStr"/>
    </row>
    <row r="7">
      <c r="A7" s="18" t="inlineStr">
        <is>
          <t>销售净利率</t>
        </is>
      </c>
      <c r="B7" s="19" t="inlineStr">
        <is>
          <t>%</t>
        </is>
      </c>
      <c r="C7" s="21" t="n">
        <v>0.1275</v>
      </c>
      <c r="D7" s="21">
        <f>'财务分析'!B29</f>
        <v/>
      </c>
      <c r="E7" s="21">
        <f>D7/C7</f>
        <v/>
      </c>
      <c r="F7" s="21">
        <f>'财务分析'!E23</f>
        <v/>
      </c>
      <c r="G7" s="21">
        <f>'财务分析'!F23</f>
        <v/>
      </c>
      <c r="H7" s="9" t="inlineStr">
        <is>
          <t>净利润/营业收入</t>
        </is>
      </c>
    </row>
    <row r="8">
      <c r="A8" s="18" t="inlineStr">
        <is>
          <t>销售额达成率</t>
        </is>
      </c>
      <c r="B8" s="19" t="inlineStr">
        <is>
          <t>%</t>
        </is>
      </c>
      <c r="C8" s="21" t="n">
        <v>1</v>
      </c>
      <c r="D8" s="21">
        <f>'销售分析'!B12</f>
        <v/>
      </c>
      <c r="E8" s="21">
        <f>D8/C8</f>
        <v/>
      </c>
      <c r="F8" s="19" t="inlineStr">
        <is>
          <t>—</t>
        </is>
      </c>
      <c r="G8" s="19" t="inlineStr">
        <is>
          <t>—</t>
        </is>
      </c>
      <c r="H8" s="9" t="inlineStr">
        <is>
          <t>实际/目标均值</t>
        </is>
      </c>
    </row>
    <row r="9">
      <c r="A9" s="18" t="inlineStr">
        <is>
          <t>人均营收</t>
        </is>
      </c>
      <c r="B9" s="19" t="inlineStr">
        <is>
          <t>万元/人</t>
        </is>
      </c>
      <c r="C9" s="19" t="inlineStr">
        <is>
          <t>—</t>
        </is>
      </c>
      <c r="D9" s="20">
        <f>'财务分析'!B27*10000/'人力资源'!E11</f>
        <v/>
      </c>
      <c r="E9" s="19" t="inlineStr">
        <is>
          <t>—</t>
        </is>
      </c>
      <c r="F9" s="19" t="inlineStr">
        <is>
          <t>—</t>
        </is>
      </c>
      <c r="G9" s="19" t="inlineStr">
        <is>
          <t>—</t>
        </is>
      </c>
      <c r="H9" s="9" t="inlineStr">
        <is>
          <t>营收/平均人数</t>
        </is>
      </c>
    </row>
    <row r="10">
      <c r="A10" s="18" t="inlineStr">
        <is>
          <t>员工总数</t>
        </is>
      </c>
      <c r="B10" s="19" t="inlineStr">
        <is>
          <t>人</t>
        </is>
      </c>
      <c r="C10" s="22" t="n">
        <v>18</v>
      </c>
      <c r="D10" s="22">
        <f>'人力资源'!E11</f>
        <v/>
      </c>
      <c r="E10" s="21">
        <f>D10/C10</f>
        <v/>
      </c>
      <c r="F10" s="19" t="inlineStr">
        <is>
          <t>—</t>
        </is>
      </c>
      <c r="G10" s="19" t="inlineStr">
        <is>
          <t>—</t>
        </is>
      </c>
      <c r="H10" s="9" t="inlineStr"/>
    </row>
    <row r="11">
      <c r="A11" s="18" t="inlineStr">
        <is>
          <t>员工流失率</t>
        </is>
      </c>
      <c r="B11" s="19" t="inlineStr">
        <is>
          <t>%</t>
        </is>
      </c>
      <c r="C11" s="21" t="n">
        <v>0.06</v>
      </c>
      <c r="D11" s="21">
        <f>'人力资源'!F11</f>
        <v/>
      </c>
      <c r="E11" s="21">
        <f>D11/C11</f>
        <v/>
      </c>
      <c r="F11" s="19" t="inlineStr">
        <is>
          <t>—</t>
        </is>
      </c>
      <c r="G11" s="19" t="inlineStr">
        <is>
          <t>—</t>
        </is>
      </c>
      <c r="H11" s="9" t="inlineStr">
        <is>
          <t>越低越好</t>
        </is>
      </c>
    </row>
    <row r="12">
      <c r="A12" s="18" t="inlineStr">
        <is>
          <t>客户数</t>
        </is>
      </c>
      <c r="B12" s="19" t="inlineStr">
        <is>
          <t>家</t>
        </is>
      </c>
      <c r="C12" s="22" t="n">
        <v>162</v>
      </c>
      <c r="D12" s="22" t="n">
        <v>17</v>
      </c>
      <c r="E12" s="19" t="inlineStr">
        <is>
          <t>—</t>
        </is>
      </c>
      <c r="F12" s="19" t="inlineStr">
        <is>
          <t>—</t>
        </is>
      </c>
      <c r="G12" s="19" t="inlineStr">
        <is>
          <t>—</t>
        </is>
      </c>
      <c r="H12" s="9" t="inlineStr"/>
    </row>
    <row r="13">
      <c r="A13" s="18" t="inlineStr">
        <is>
          <t>订单交付及时率</t>
        </is>
      </c>
      <c r="B13" s="19" t="inlineStr">
        <is>
          <t>%</t>
        </is>
      </c>
      <c r="C13" s="21" t="n">
        <v>0.95</v>
      </c>
      <c r="D13" s="21" t="n">
        <v>0.9526</v>
      </c>
      <c r="E13" s="19" t="inlineStr">
        <is>
          <t>—</t>
        </is>
      </c>
      <c r="F13" s="19" t="inlineStr">
        <is>
          <t>—</t>
        </is>
      </c>
      <c r="G13" s="19" t="inlineStr">
        <is>
          <t>—</t>
        </is>
      </c>
      <c r="H13" s="9" t="inlineStr"/>
    </row>
    <row r="14">
      <c r="A14" s="18" t="inlineStr">
        <is>
          <t>客户满意度</t>
        </is>
      </c>
      <c r="B14" s="19" t="inlineStr">
        <is>
          <t>%</t>
        </is>
      </c>
      <c r="C14" s="21" t="n">
        <v>0.9</v>
      </c>
      <c r="D14" s="21" t="n">
        <v>0.9277</v>
      </c>
      <c r="E14" s="19" t="inlineStr">
        <is>
          <t>—</t>
        </is>
      </c>
      <c r="F14" s="19" t="inlineStr">
        <is>
          <t>—</t>
        </is>
      </c>
      <c r="G14" s="19" t="inlineStr">
        <is>
          <t>—</t>
        </is>
      </c>
      <c r="H14" s="9" t="inlineStr"/>
    </row>
    <row r="15">
      <c r="A15" s="18" t="inlineStr">
        <is>
          <t>研发投入占比</t>
        </is>
      </c>
      <c r="B15" s="19" t="inlineStr">
        <is>
          <t>%</t>
        </is>
      </c>
      <c r="C15" s="21" t="n">
        <v>0.18</v>
      </c>
      <c r="D15" s="21">
        <f>'财务分析'!B15/'财务分析'!B9</f>
        <v/>
      </c>
      <c r="E15" s="21">
        <f>D15/C15</f>
        <v/>
      </c>
      <c r="F15" s="19" t="inlineStr">
        <is>
          <t>—</t>
        </is>
      </c>
      <c r="G15" s="19" t="inlineStr">
        <is>
          <t>—</t>
        </is>
      </c>
      <c r="H15" s="9" t="inlineStr">
        <is>
          <t>研发费用/营收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2" customWidth="1" min="5" max="5"/>
    <col width="12" customWidth="1" min="6" max="6"/>
    <col width="22" customWidth="1" min="7" max="7"/>
  </cols>
  <sheetData>
    <row r="1" ht="30" customHeight="1">
      <c r="A1" s="1" t="inlineStr">
        <is>
          <t>财务分析 · 利润表（月度）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项目</t>
        </is>
      </c>
      <c r="B4" s="17" t="inlineStr">
        <is>
          <t>本月数</t>
        </is>
      </c>
      <c r="C4" s="17" t="inlineStr">
        <is>
          <t>上年同期</t>
        </is>
      </c>
      <c r="D4" s="17" t="inlineStr">
        <is>
          <t>上月数</t>
        </is>
      </c>
      <c r="E4" s="17" t="inlineStr">
        <is>
          <t>同比</t>
        </is>
      </c>
      <c r="F4" s="17" t="inlineStr">
        <is>
          <t>环比</t>
        </is>
      </c>
      <c r="G4" s="17" t="inlineStr">
        <is>
          <t>说明</t>
        </is>
      </c>
    </row>
    <row r="5">
      <c r="A5" s="4" t="inlineStr">
        <is>
          <t xml:space="preserve">  产品销售收入</t>
        </is>
      </c>
      <c r="B5" s="23" t="n">
        <v>10985058</v>
      </c>
      <c r="C5" s="23" t="n">
        <v>9231141</v>
      </c>
      <c r="D5" s="23" t="n">
        <v>11040259</v>
      </c>
      <c r="E5" s="21">
        <f>(B5-C5)/C5</f>
        <v/>
      </c>
      <c r="F5" s="21">
        <f>(B5-D5)/D5</f>
        <v/>
      </c>
    </row>
    <row r="6">
      <c r="A6" s="4" t="inlineStr">
        <is>
          <t xml:space="preserve">  技术服务收入</t>
        </is>
      </c>
      <c r="B6" s="23" t="n">
        <v>6056810</v>
      </c>
      <c r="C6" s="23" t="n">
        <v>5089756</v>
      </c>
      <c r="D6" s="23" t="n">
        <v>6087246</v>
      </c>
      <c r="E6" s="21">
        <f>(B6-C6)/C6</f>
        <v/>
      </c>
      <c r="F6" s="21">
        <f>(B6-D6)/D6</f>
        <v/>
      </c>
    </row>
    <row r="7">
      <c r="A7" s="4" t="inlineStr">
        <is>
          <t xml:space="preserve">  增值服务收入</t>
        </is>
      </c>
      <c r="B7" s="23" t="n">
        <v>3262098</v>
      </c>
      <c r="C7" s="23" t="n">
        <v>2741259</v>
      </c>
      <c r="D7" s="23" t="n">
        <v>3278490</v>
      </c>
      <c r="E7" s="21">
        <f>(B7-C7)/C7</f>
        <v/>
      </c>
      <c r="F7" s="21">
        <f>(B7-D7)/D7</f>
        <v/>
      </c>
    </row>
    <row r="8">
      <c r="A8" s="4" t="inlineStr">
        <is>
          <t xml:space="preserve">  其他业务收入</t>
        </is>
      </c>
      <c r="B8" s="23" t="n">
        <v>1828042</v>
      </c>
      <c r="C8" s="23" t="n">
        <v>1536170</v>
      </c>
      <c r="D8" s="23" t="n">
        <v>1837228</v>
      </c>
      <c r="E8" s="21">
        <f>(B8-C8)/C8</f>
        <v/>
      </c>
      <c r="F8" s="21">
        <f>(B8-D8)/D8</f>
        <v/>
      </c>
    </row>
    <row r="9">
      <c r="A9" s="18" t="inlineStr">
        <is>
          <t>营业收入合计</t>
        </is>
      </c>
      <c r="B9" s="24">
        <f>SUM(B5:B8)</f>
        <v/>
      </c>
      <c r="C9" s="24">
        <f>SUM(C5:C8)</f>
        <v/>
      </c>
      <c r="D9" s="24">
        <f>SUM(D5:D8)</f>
        <v/>
      </c>
      <c r="E9" s="25">
        <f>(B9-C9)/C9</f>
        <v/>
      </c>
      <c r="F9" s="25">
        <f>(B9-D9)/D9</f>
        <v/>
      </c>
    </row>
    <row r="10">
      <c r="A10" s="26" t="inlineStr">
        <is>
          <t>二、营业成本</t>
        </is>
      </c>
      <c r="B10" s="23" t="n">
        <v>13954992</v>
      </c>
      <c r="C10" s="23" t="n">
        <v>11726884</v>
      </c>
      <c r="D10" s="23" t="n">
        <v>14025118</v>
      </c>
      <c r="E10" s="21">
        <f>(B10-C10)/C10</f>
        <v/>
      </c>
      <c r="F10" s="21">
        <f>(B10-D10)/D10</f>
        <v/>
      </c>
    </row>
    <row r="11">
      <c r="A11" s="4" t="inlineStr">
        <is>
          <t xml:space="preserve">  税金及附加</t>
        </is>
      </c>
      <c r="B11" s="23" t="n">
        <v>717609</v>
      </c>
      <c r="C11" s="23" t="n">
        <v>603033</v>
      </c>
      <c r="D11" s="23" t="n">
        <v>721215</v>
      </c>
      <c r="E11" s="21">
        <f>(B11-C11)/C11</f>
        <v/>
      </c>
      <c r="F11" s="21">
        <f>(B11-D11)/D11</f>
        <v/>
      </c>
    </row>
    <row r="12">
      <c r="A12" s="26" t="inlineStr">
        <is>
          <t>三、期间费用</t>
        </is>
      </c>
      <c r="B12" s="19" t="inlineStr">
        <is>
          <t>—</t>
        </is>
      </c>
      <c r="C12" s="19" t="inlineStr">
        <is>
          <t>—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—</t>
        </is>
      </c>
    </row>
    <row r="13">
      <c r="A13" s="4" t="inlineStr">
        <is>
          <t xml:space="preserve">  销售费用</t>
        </is>
      </c>
      <c r="B13" s="23" t="n">
        <v>3834384</v>
      </c>
      <c r="C13" s="23" t="n">
        <v>3222171</v>
      </c>
      <c r="D13" s="23" t="n">
        <v>3853652</v>
      </c>
      <c r="E13" s="21">
        <f>(B13-C13)/C13</f>
        <v/>
      </c>
      <c r="F13" s="21">
        <f>(B13-D13)/D13</f>
        <v/>
      </c>
    </row>
    <row r="14">
      <c r="A14" s="4" t="inlineStr">
        <is>
          <t xml:space="preserve">  管理费用</t>
        </is>
      </c>
      <c r="B14" s="23" t="n">
        <v>2509832</v>
      </c>
      <c r="C14" s="23" t="n">
        <v>2109103</v>
      </c>
      <c r="D14" s="23" t="n">
        <v>2522444</v>
      </c>
      <c r="E14" s="21">
        <f>(B14-C14)/C14</f>
        <v/>
      </c>
      <c r="F14" s="21">
        <f>(B14-D14)/D14</f>
        <v/>
      </c>
    </row>
    <row r="15">
      <c r="A15" s="4" t="inlineStr">
        <is>
          <t xml:space="preserve">  研发费用</t>
        </is>
      </c>
      <c r="B15" s="23" t="n">
        <v>4532645</v>
      </c>
      <c r="C15" s="23" t="n">
        <v>3808945</v>
      </c>
      <c r="D15" s="23" t="n">
        <v>4555422</v>
      </c>
      <c r="E15" s="21">
        <f>(B15-C15)/C15</f>
        <v/>
      </c>
      <c r="F15" s="21">
        <f>(B15-D15)/D15</f>
        <v/>
      </c>
    </row>
    <row r="16">
      <c r="A16" s="4" t="inlineStr">
        <is>
          <t xml:space="preserve">  财务费用</t>
        </is>
      </c>
      <c r="B16" s="23" t="n">
        <v>-326772</v>
      </c>
      <c r="C16" s="23" t="n">
        <v>-274598</v>
      </c>
      <c r="D16" s="23" t="n">
        <v>-328414</v>
      </c>
      <c r="E16" s="21">
        <f>(B16-C16)/C16</f>
        <v/>
      </c>
      <c r="F16" s="21">
        <f>(B16-D16)/D16</f>
        <v/>
      </c>
    </row>
    <row r="17">
      <c r="A17" s="18" t="inlineStr">
        <is>
          <t>期间费用合计</t>
        </is>
      </c>
      <c r="B17" s="24">
        <f>SUM(B13:B16)</f>
        <v/>
      </c>
      <c r="C17" s="24">
        <f>SUM(C13:C16)</f>
        <v/>
      </c>
      <c r="D17" s="24">
        <f>SUM(D13:D16)</f>
        <v/>
      </c>
      <c r="E17" s="25">
        <f>(B17-C17)/C17</f>
        <v/>
      </c>
      <c r="F17" s="25">
        <f>(B17-D17)/D17</f>
        <v/>
      </c>
    </row>
    <row r="18">
      <c r="A18" s="27" t="inlineStr">
        <is>
          <t>四、营业利润</t>
        </is>
      </c>
      <c r="B18" s="28">
        <f>B9-B10-B11-B17</f>
        <v/>
      </c>
      <c r="C18" s="28">
        <f>C9-C10-C11-C17</f>
        <v/>
      </c>
      <c r="D18" s="28">
        <f>D9-D10-D11-D17</f>
        <v/>
      </c>
      <c r="E18" s="29">
        <f>(B18-C18)/C18</f>
        <v/>
      </c>
      <c r="F18" s="29">
        <f>(B18-D18)/D18</f>
        <v/>
      </c>
    </row>
    <row r="19">
      <c r="A19" s="4" t="inlineStr">
        <is>
          <t xml:space="preserve">  营业外收支净额</t>
        </is>
      </c>
      <c r="B19" s="23" t="n">
        <v>340304</v>
      </c>
      <c r="C19" s="23" t="n">
        <v>285970</v>
      </c>
      <c r="D19" s="23" t="n">
        <v>342014</v>
      </c>
      <c r="E19" s="21">
        <f>(B19-C19)/C19</f>
        <v/>
      </c>
      <c r="F19" s="21">
        <f>(B19-D19)/D19</f>
        <v/>
      </c>
    </row>
    <row r="20">
      <c r="A20" s="26" t="inlineStr">
        <is>
          <t>五、利润总额</t>
        </is>
      </c>
      <c r="B20" s="30">
        <f>B18+B19</f>
        <v/>
      </c>
      <c r="C20" s="30">
        <f>C18+C19</f>
        <v/>
      </c>
      <c r="D20" s="30">
        <f>D18+D19</f>
        <v/>
      </c>
      <c r="E20" s="31">
        <f>(B20-C20)/C20</f>
        <v/>
      </c>
      <c r="F20" s="31">
        <f>(B20-D20)/D20</f>
        <v/>
      </c>
    </row>
    <row r="21">
      <c r="A21" s="4" t="inlineStr">
        <is>
          <t xml:space="preserve">  所得税费用</t>
        </is>
      </c>
      <c r="B21" s="23">
        <f>B20*0.15</f>
        <v/>
      </c>
      <c r="C21" s="23">
        <f>C20*0.15</f>
        <v/>
      </c>
      <c r="D21" s="23">
        <f>D20*0.15</f>
        <v/>
      </c>
      <c r="E21" s="19" t="inlineStr">
        <is>
          <t>—</t>
        </is>
      </c>
      <c r="F21" s="19" t="inlineStr">
        <is>
          <t>—</t>
        </is>
      </c>
    </row>
    <row r="22">
      <c r="A22" s="32" t="inlineStr">
        <is>
          <t>六、净利润</t>
        </is>
      </c>
      <c r="B22" s="33">
        <f>B20-B21</f>
        <v/>
      </c>
      <c r="C22" s="33">
        <f>C20-C21</f>
        <v/>
      </c>
      <c r="D22" s="33">
        <f>D20-D21</f>
        <v/>
      </c>
      <c r="E22" s="34">
        <f>(B22-C22)/C22</f>
        <v/>
      </c>
      <c r="F22" s="34">
        <f>(B22-D22)/D22</f>
        <v/>
      </c>
    </row>
    <row r="23">
      <c r="A23" s="35" t="inlineStr">
        <is>
          <t>销售净利率</t>
        </is>
      </c>
      <c r="B23" s="21">
        <f>B22/B9</f>
        <v/>
      </c>
      <c r="C23" s="19" t="inlineStr">
        <is>
          <t>—</t>
        </is>
      </c>
      <c r="D23" s="19" t="inlineStr">
        <is>
          <t>—</t>
        </is>
      </c>
      <c r="E23" s="19" t="inlineStr">
        <is>
          <t>—</t>
        </is>
      </c>
      <c r="F23" s="19" t="inlineStr">
        <is>
          <t>—</t>
        </is>
      </c>
    </row>
    <row r="24">
      <c r="A24" s="35" t="inlineStr">
        <is>
          <t>营业利润率</t>
        </is>
      </c>
      <c r="B24" s="21">
        <f>B18/B9</f>
        <v/>
      </c>
      <c r="C24" s="19" t="inlineStr">
        <is>
          <t>—</t>
        </is>
      </c>
      <c r="D24" s="19" t="inlineStr">
        <is>
          <t>—</t>
        </is>
      </c>
      <c r="E24" s="19" t="inlineStr">
        <is>
          <t>—</t>
        </is>
      </c>
      <c r="F24" s="19" t="inlineStr">
        <is>
          <t>—</t>
        </is>
      </c>
    </row>
    <row r="26">
      <c r="A26" s="3" t="inlineStr">
        <is>
          <t>关键指标汇总（本月）</t>
        </is>
      </c>
      <c r="B26" s="6" t="n"/>
      <c r="C26" s="7" t="n"/>
    </row>
    <row r="27">
      <c r="A27" s="4" t="inlineStr">
        <is>
          <t>营业收入(万元)</t>
        </is>
      </c>
      <c r="B27" s="36">
        <f>B9/10000</f>
        <v/>
      </c>
    </row>
    <row r="28">
      <c r="A28" s="4" t="inlineStr">
        <is>
          <t>净利润(万元)</t>
        </is>
      </c>
      <c r="B28" s="36">
        <f>B22/10000</f>
        <v/>
      </c>
    </row>
    <row r="29">
      <c r="A29" s="4" t="inlineStr">
        <is>
          <t>销售净利率(%)</t>
        </is>
      </c>
      <c r="B29" s="37">
        <f>B22/B9</f>
        <v/>
      </c>
    </row>
    <row r="30">
      <c r="A30" s="4" t="inlineStr">
        <is>
          <t>营业利润率(%)</t>
        </is>
      </c>
      <c r="B30" s="37">
        <f>B18/B9</f>
        <v/>
      </c>
    </row>
  </sheetData>
  <mergeCells count="3">
    <mergeCell ref="A26:C26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H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 ht="30" customHeight="1">
      <c r="A1" s="1" t="inlineStr">
        <is>
          <t>销售分析 · 产品线 / 区域</t>
        </is>
      </c>
    </row>
    <row r="2" ht="18" customHeight="1">
      <c r="A2" s="2" t="inlineStr">
        <is>
          <t>2026年6月  |  单位：人民币元</t>
        </is>
      </c>
    </row>
    <row r="4" ht="24" customHeight="1">
      <c r="A4" s="17" t="inlineStr">
        <is>
          <t>产品</t>
        </is>
      </c>
      <c r="B4" s="17" t="inlineStr">
        <is>
          <t>目标销售额</t>
        </is>
      </c>
      <c r="C4" s="17" t="inlineStr">
        <is>
          <t>实际销售额</t>
        </is>
      </c>
      <c r="D4" s="17" t="inlineStr">
        <is>
          <t>达成率</t>
        </is>
      </c>
      <c r="E4" s="17" t="inlineStr">
        <is>
          <t>上年同期</t>
        </is>
      </c>
      <c r="F4" s="17" t="inlineStr">
        <is>
          <t>上月</t>
        </is>
      </c>
      <c r="G4" s="17" t="inlineStr">
        <is>
          <t>同比</t>
        </is>
      </c>
      <c r="H4" s="17" t="inlineStr">
        <is>
          <t>环比</t>
        </is>
      </c>
    </row>
    <row r="5">
      <c r="A5" s="4" t="inlineStr">
        <is>
          <t>标准版软件</t>
        </is>
      </c>
      <c r="B5" s="23" t="n">
        <v>4706031</v>
      </c>
      <c r="C5" s="23" t="n">
        <v>5010641</v>
      </c>
      <c r="D5" s="21">
        <f>C5/B5</f>
        <v/>
      </c>
      <c r="E5" s="23" t="n">
        <v>4210623</v>
      </c>
      <c r="F5" s="23" t="n">
        <v>5035820</v>
      </c>
      <c r="G5" s="21">
        <f>(C5-E5)/E5</f>
        <v/>
      </c>
      <c r="H5" s="21">
        <f>(C5-F5)/F5</f>
        <v/>
      </c>
    </row>
    <row r="6">
      <c r="A6" s="4" t="inlineStr">
        <is>
          <t>企业版软件</t>
        </is>
      </c>
      <c r="B6" s="23" t="n">
        <v>3461701</v>
      </c>
      <c r="C6" s="23" t="n">
        <v>3565931</v>
      </c>
      <c r="D6" s="21">
        <f>C6/B6</f>
        <v/>
      </c>
      <c r="E6" s="23" t="n">
        <v>2996581</v>
      </c>
      <c r="F6" s="23" t="n">
        <v>3583850</v>
      </c>
      <c r="G6" s="21">
        <f>(C6-E6)/E6</f>
        <v/>
      </c>
      <c r="H6" s="21">
        <f>(C6-F6)/F6</f>
        <v/>
      </c>
    </row>
    <row r="7">
      <c r="A7" s="4" t="inlineStr">
        <is>
          <t>定制开发服务</t>
        </is>
      </c>
      <c r="B7" s="23" t="n">
        <v>2962109</v>
      </c>
      <c r="C7" s="23" t="n">
        <v>2948496</v>
      </c>
      <c r="D7" s="21">
        <f>C7/B7</f>
        <v/>
      </c>
      <c r="E7" s="23" t="n">
        <v>2477728</v>
      </c>
      <c r="F7" s="23" t="n">
        <v>2963313</v>
      </c>
      <c r="G7" s="21">
        <f>(C7-E7)/E7</f>
        <v/>
      </c>
      <c r="H7" s="21">
        <f>(C7-F7)/F7</f>
        <v/>
      </c>
    </row>
    <row r="8">
      <c r="A8" s="4" t="inlineStr">
        <is>
          <t>运维支持服务</t>
        </is>
      </c>
      <c r="B8" s="23" t="n">
        <v>2534213</v>
      </c>
      <c r="C8" s="23" t="n">
        <v>2379402</v>
      </c>
      <c r="D8" s="21">
        <f>C8/B8</f>
        <v/>
      </c>
      <c r="E8" s="23" t="n">
        <v>1999497</v>
      </c>
      <c r="F8" s="23" t="n">
        <v>2391359</v>
      </c>
      <c r="G8" s="21">
        <f>(C8-E8)/E8</f>
        <v/>
      </c>
      <c r="H8" s="21">
        <f>(C8-F8)/F8</f>
        <v/>
      </c>
    </row>
    <row r="9">
      <c r="A9" s="4" t="inlineStr">
        <is>
          <t>云订阅(SaaS)</t>
        </is>
      </c>
      <c r="B9" s="23" t="n">
        <v>2794157</v>
      </c>
      <c r="C9" s="23" t="n">
        <v>2809284</v>
      </c>
      <c r="D9" s="21">
        <f>C9/B9</f>
        <v/>
      </c>
      <c r="E9" s="23" t="n">
        <v>2360743</v>
      </c>
      <c r="F9" s="23" t="n">
        <v>2823401</v>
      </c>
      <c r="G9" s="21">
        <f>(C9-E9)/E9</f>
        <v/>
      </c>
      <c r="H9" s="21">
        <f>(C9-F9)/F9</f>
        <v/>
      </c>
    </row>
    <row r="12">
      <c r="A12" s="8" t="inlineStr">
        <is>
          <t>整体销售额达成率</t>
        </is>
      </c>
      <c r="B12" s="38">
        <f>AVERAGE(D5:D9)</f>
        <v/>
      </c>
    </row>
    <row r="14">
      <c r="A14" s="5" t="inlineStr">
        <is>
          <t>区域销售额分布</t>
        </is>
      </c>
      <c r="B14" s="6" t="n"/>
      <c r="C14" s="7" t="n"/>
    </row>
    <row r="15" ht="24" customHeight="1">
      <c r="A15" s="17" t="inlineStr">
        <is>
          <t>区域</t>
        </is>
      </c>
      <c r="B15" s="17" t="inlineStr">
        <is>
          <t>销售额</t>
        </is>
      </c>
      <c r="C15" s="17" t="inlineStr">
        <is>
          <t>占比</t>
        </is>
      </c>
    </row>
    <row r="16">
      <c r="A16" s="4" t="inlineStr">
        <is>
          <t>本地市场</t>
        </is>
      </c>
      <c r="B16" s="23" t="n">
        <v>5938990</v>
      </c>
      <c r="C16" s="21">
        <f>B16/$B$20</f>
        <v/>
      </c>
    </row>
    <row r="17">
      <c r="A17" s="4" t="inlineStr">
        <is>
          <t>周边省份</t>
        </is>
      </c>
      <c r="B17" s="23" t="n">
        <v>4436900</v>
      </c>
      <c r="C17" s="21">
        <f>B17/$B$20</f>
        <v/>
      </c>
    </row>
    <row r="18">
      <c r="A18" s="4" t="inlineStr">
        <is>
          <t>线上直销</t>
        </is>
      </c>
      <c r="B18" s="23" t="n">
        <v>3160798</v>
      </c>
      <c r="C18" s="21">
        <f>B18/$B$20</f>
        <v/>
      </c>
    </row>
    <row r="19">
      <c r="A19" s="4" t="inlineStr">
        <is>
          <t>渠道代理</t>
        </is>
      </c>
      <c r="B19" s="23" t="n">
        <v>2623183</v>
      </c>
      <c r="C19" s="21">
        <f>B19/$B$20</f>
        <v/>
      </c>
    </row>
    <row r="20">
      <c r="A20" s="18" t="inlineStr">
        <is>
          <t>合计</t>
        </is>
      </c>
      <c r="B20" s="24">
        <f>SUM(B16:B19)</f>
        <v/>
      </c>
      <c r="C20" s="25">
        <f>SUM(C16:C19)</f>
        <v/>
      </c>
    </row>
  </sheetData>
  <mergeCells count="3">
    <mergeCell ref="A14:C14"/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7030A0"/>
    <outlinePr summaryBelow="1" summaryRight="1"/>
    <pageSetUpPr/>
  </sheetPr>
  <dimension ref="A1:F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 ht="30" customHeight="1">
      <c r="A1" s="1" t="inlineStr">
        <is>
          <t>人力资源 · 编制与流动</t>
        </is>
      </c>
    </row>
    <row r="2" ht="18" customHeight="1">
      <c r="A2" s="2" t="inlineStr">
        <is>
          <t>2026年6月  |  单位：人 / %</t>
        </is>
      </c>
    </row>
    <row r="4" ht="24" customHeight="1">
      <c r="A4" s="17" t="inlineStr">
        <is>
          <t>部门</t>
        </is>
      </c>
      <c r="B4" s="17" t="inlineStr">
        <is>
          <t>月初人数</t>
        </is>
      </c>
      <c r="C4" s="17" t="inlineStr">
        <is>
          <t>入职</t>
        </is>
      </c>
      <c r="D4" s="17" t="inlineStr">
        <is>
          <t>离职</t>
        </is>
      </c>
      <c r="E4" s="17" t="inlineStr">
        <is>
          <t>月末人数</t>
        </is>
      </c>
      <c r="F4" s="17" t="inlineStr">
        <is>
          <t>流失率</t>
        </is>
      </c>
    </row>
    <row r="5">
      <c r="A5" s="4" t="inlineStr">
        <is>
          <t>研发部</t>
        </is>
      </c>
      <c r="B5" s="22" t="n">
        <v>7</v>
      </c>
      <c r="C5" s="22" t="n">
        <v>1</v>
      </c>
      <c r="D5" s="22" t="n">
        <v>1</v>
      </c>
      <c r="E5" s="39">
        <f>B5+C5-D5</f>
        <v/>
      </c>
      <c r="F5" s="21">
        <f>D5/((B5+E5)/2)</f>
        <v/>
      </c>
    </row>
    <row r="6">
      <c r="A6" s="4" t="inlineStr">
        <is>
          <t>销售部</t>
        </is>
      </c>
      <c r="B6" s="22" t="n">
        <v>4</v>
      </c>
      <c r="C6" s="22" t="n">
        <v>0</v>
      </c>
      <c r="D6" s="22" t="n">
        <v>0</v>
      </c>
      <c r="E6" s="39">
        <f>B6+C6-D6</f>
        <v/>
      </c>
      <c r="F6" s="21">
        <f>D6/((B6+E6)/2)</f>
        <v/>
      </c>
    </row>
    <row r="7">
      <c r="A7" s="4" t="inlineStr">
        <is>
          <t>实施部</t>
        </is>
      </c>
      <c r="B7" s="22" t="n">
        <v>3</v>
      </c>
      <c r="C7" s="22" t="n">
        <v>0</v>
      </c>
      <c r="D7" s="22" t="n">
        <v>0</v>
      </c>
      <c r="E7" s="39">
        <f>B7+C7-D7</f>
        <v/>
      </c>
      <c r="F7" s="21">
        <f>D7/((B7+E7)/2)</f>
        <v/>
      </c>
    </row>
    <row r="8">
      <c r="A8" s="4" t="inlineStr">
        <is>
          <t>客服部</t>
        </is>
      </c>
      <c r="B8" s="22" t="n">
        <v>2</v>
      </c>
      <c r="C8" s="22" t="n">
        <v>0</v>
      </c>
      <c r="D8" s="22" t="n">
        <v>1</v>
      </c>
      <c r="E8" s="39">
        <f>B8+C8-D8</f>
        <v/>
      </c>
      <c r="F8" s="21">
        <f>D8/((B8+E8)/2)</f>
        <v/>
      </c>
    </row>
    <row r="9">
      <c r="A9" s="4" t="inlineStr">
        <is>
          <t>职能部门</t>
        </is>
      </c>
      <c r="B9" s="22" t="n">
        <v>2</v>
      </c>
      <c r="C9" s="22" t="n">
        <v>1</v>
      </c>
      <c r="D9" s="22" t="n">
        <v>1</v>
      </c>
      <c r="E9" s="39">
        <f>B9+C9-D9</f>
        <v/>
      </c>
      <c r="F9" s="21">
        <f>D9/((B9+E9)/2)</f>
        <v/>
      </c>
    </row>
    <row r="10">
      <c r="A10" s="4" t="inlineStr">
        <is>
          <t>管理层</t>
        </is>
      </c>
      <c r="B10" s="22" t="n">
        <v>2</v>
      </c>
      <c r="C10" s="22" t="n">
        <v>1</v>
      </c>
      <c r="D10" s="22" t="n">
        <v>1</v>
      </c>
      <c r="E10" s="39">
        <f>B10+C10-D10</f>
        <v/>
      </c>
      <c r="F10" s="21">
        <f>D10/((B10+E10)/2)</f>
        <v/>
      </c>
    </row>
    <row r="11">
      <c r="A11" s="18" t="inlineStr">
        <is>
          <t>合计 / 平均</t>
        </is>
      </c>
      <c r="B11" s="40">
        <f>SUM(B5:B10)</f>
        <v/>
      </c>
      <c r="C11" s="40">
        <f>SUM(C5:C10)</f>
        <v/>
      </c>
      <c r="D11" s="40">
        <f>SUM(D5:D10)</f>
        <v/>
      </c>
      <c r="E11" s="40">
        <f>SUM(E5:E10)</f>
        <v/>
      </c>
      <c r="F11" s="25">
        <f>D11/((B11+E11)/2)</f>
        <v/>
      </c>
    </row>
    <row r="13">
      <c r="A13" s="5" t="inlineStr">
        <is>
          <t>招聘与培训</t>
        </is>
      </c>
      <c r="B13" s="6" t="n"/>
      <c r="C13" s="7" t="n"/>
    </row>
    <row r="14">
      <c r="A14" s="4" t="inlineStr">
        <is>
          <t>招聘需求(人)</t>
        </is>
      </c>
      <c r="B14" s="41" t="n">
        <v>8</v>
      </c>
    </row>
    <row r="15">
      <c r="A15" s="4" t="inlineStr">
        <is>
          <t>已到岗(人)</t>
        </is>
      </c>
      <c r="B15" s="41" t="n">
        <v>4</v>
      </c>
    </row>
    <row r="16">
      <c r="A16" s="4" t="inlineStr">
        <is>
          <t>招聘完成率</t>
        </is>
      </c>
      <c r="B16" s="42">
        <f>B15/B14</f>
        <v/>
      </c>
    </row>
    <row r="17">
      <c r="A17" s="4" t="inlineStr">
        <is>
          <t>人均培训时长(小时)</t>
        </is>
      </c>
      <c r="B17" s="43" t="n">
        <v>28.1</v>
      </c>
    </row>
  </sheetData>
  <mergeCells count="3">
    <mergeCell ref="A2:F2"/>
    <mergeCell ref="A13:C13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tabColor rgb="00BF9000"/>
    <outlinePr summaryBelow="1" summaryRight="1"/>
    <pageSetUpPr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2" customWidth="1" min="4" max="4"/>
    <col width="30" customWidth="1" min="5" max="5"/>
  </cols>
  <sheetData>
    <row r="1" ht="30" customHeight="1">
      <c r="A1" s="1" t="inlineStr">
        <is>
          <t>运营效率 · 关键运营指标</t>
        </is>
      </c>
    </row>
    <row r="2" ht="18" customHeight="1">
      <c r="A2" s="2" t="inlineStr">
        <is>
          <t>2026年6月  |  本月值与目标对比</t>
        </is>
      </c>
    </row>
    <row r="4" ht="24" customHeight="1">
      <c r="A4" s="17" t="inlineStr">
        <is>
          <t>指标</t>
        </is>
      </c>
      <c r="B4" s="17" t="inlineStr">
        <is>
          <t>本月值</t>
        </is>
      </c>
      <c r="C4" s="17" t="inlineStr">
        <is>
          <t>目标</t>
        </is>
      </c>
      <c r="D4" s="17" t="inlineStr">
        <is>
          <t>达成率</t>
        </is>
      </c>
      <c r="E4" s="17" t="inlineStr">
        <is>
          <t>备注</t>
        </is>
      </c>
    </row>
    <row r="5">
      <c r="A5" s="4" t="inlineStr">
        <is>
          <t>服务工单处理量(单)</t>
        </is>
      </c>
      <c r="B5" s="22" t="n">
        <v>1563</v>
      </c>
      <c r="C5" s="22" t="n">
        <v>1980</v>
      </c>
      <c r="D5" s="21">
        <f>B5/C5</f>
        <v/>
      </c>
      <c r="E5" s="9" t="inlineStr">
        <is>
          <t>含实施与客服工单</t>
        </is>
      </c>
    </row>
    <row r="6">
      <c r="A6" s="4" t="inlineStr">
        <is>
          <t>产能/人效利用率</t>
        </is>
      </c>
      <c r="B6" s="21" t="n">
        <v>0.7817</v>
      </c>
      <c r="C6" s="21" t="n">
        <v>0.9</v>
      </c>
      <c r="D6" s="21">
        <f>B6/C6</f>
        <v/>
      </c>
      <c r="E6" s="9" t="inlineStr">
        <is>
          <t>实际产出/标准产能</t>
        </is>
      </c>
    </row>
    <row r="7">
      <c r="A7" s="4" t="inlineStr">
        <is>
          <t>库存周转天数(天)</t>
        </is>
      </c>
      <c r="B7" s="20" t="n">
        <v>44</v>
      </c>
      <c r="C7" s="20" t="n">
        <v>35</v>
      </c>
      <c r="D7" s="21">
        <f>C7/B7</f>
        <v/>
      </c>
      <c r="E7" s="9" t="inlineStr">
        <is>
          <t>越低越好</t>
        </is>
      </c>
    </row>
    <row r="8">
      <c r="A8" s="4" t="inlineStr">
        <is>
          <t>交付物良品率</t>
        </is>
      </c>
      <c r="B8" s="21" t="n">
        <v>0.9919</v>
      </c>
      <c r="C8" s="21" t="n">
        <v>0.985</v>
      </c>
      <c r="D8" s="21">
        <f>B8/C8</f>
        <v/>
      </c>
      <c r="E8" s="9" t="inlineStr">
        <is>
          <t>一次验收通过率</t>
        </is>
      </c>
    </row>
    <row r="9">
      <c r="A9" s="4" t="inlineStr">
        <is>
          <t>设备综合效率OEE</t>
        </is>
      </c>
      <c r="B9" s="21" t="n">
        <v>0.7749</v>
      </c>
      <c r="C9" s="21" t="n">
        <v>0.85</v>
      </c>
      <c r="D9" s="21">
        <f>B9/C9</f>
        <v/>
      </c>
      <c r="E9" s="9" t="inlineStr"/>
    </row>
    <row r="10">
      <c r="A10" s="4" t="inlineStr">
        <is>
          <t>订单交付及时率</t>
        </is>
      </c>
      <c r="B10" s="21" t="n">
        <v>0.9526</v>
      </c>
      <c r="C10" s="21" t="n">
        <v>0.95</v>
      </c>
      <c r="D10" s="21">
        <f>B10/C10</f>
        <v/>
      </c>
      <c r="E10" s="9" t="inlineStr"/>
    </row>
    <row r="11">
      <c r="A11" s="4" t="inlineStr">
        <is>
          <t>客户满意度(CSAT)</t>
        </is>
      </c>
      <c r="B11" s="21" t="n">
        <v>0.9277</v>
      </c>
      <c r="C11" s="21" t="n">
        <v>0.9</v>
      </c>
      <c r="D11" s="21">
        <f>B11/C11</f>
        <v/>
      </c>
      <c r="E11" s="9" t="inlineStr">
        <is>
          <t>回收样本满意度均值</t>
        </is>
      </c>
    </row>
    <row r="12">
      <c r="A12" s="4" t="inlineStr">
        <is>
          <t>工单处理及时率</t>
        </is>
      </c>
      <c r="B12" s="21" t="n">
        <v>0.9322</v>
      </c>
      <c r="C12" s="21" t="n">
        <v>0.95</v>
      </c>
      <c r="D12" s="21">
        <f>B12/C12</f>
        <v/>
      </c>
      <c r="E12" s="9" t="inlineStr"/>
    </row>
  </sheetData>
  <mergeCells count="2">
    <mergeCell ref="A2:E2"/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C00000"/>
    <outlinePr summaryBelow="1" summaryRight="1"/>
    <pageSetUpPr/>
  </sheetPr>
  <dimension ref="A1:I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10" customWidth="1" min="3" max="3"/>
    <col width="14" customWidth="1" min="4" max="4"/>
    <col width="10" customWidth="1" min="5" max="5"/>
    <col width="8" customWidth="1" min="6" max="6"/>
    <col width="10" customWidth="1" min="7" max="7"/>
    <col width="34" customWidth="1" min="8" max="8"/>
    <col width="14" customWidth="1" min="9" max="9"/>
  </cols>
  <sheetData>
    <row r="1" ht="30" customHeight="1">
      <c r="A1" s="1" t="inlineStr">
        <is>
          <t>风险与事项跟踪</t>
        </is>
      </c>
    </row>
    <row r="2" ht="18" customHeight="1">
      <c r="A2" s="2" t="inlineStr">
        <is>
          <t>2026年6月  |  重点经营风险与应对</t>
        </is>
      </c>
    </row>
    <row r="4" ht="24" customHeight="1">
      <c r="A4" s="17" t="inlineStr">
        <is>
          <t>序号</t>
        </is>
      </c>
      <c r="B4" s="17" t="inlineStr">
        <is>
          <t>风险/事项</t>
        </is>
      </c>
      <c r="C4" s="17" t="inlineStr">
        <is>
          <t>类别</t>
        </is>
      </c>
      <c r="D4" s="17" t="inlineStr">
        <is>
          <t>责任部门</t>
        </is>
      </c>
      <c r="E4" s="17" t="inlineStr">
        <is>
          <t>责任人</t>
        </is>
      </c>
      <c r="F4" s="17" t="inlineStr">
        <is>
          <t>等级</t>
        </is>
      </c>
      <c r="G4" s="17" t="inlineStr">
        <is>
          <t>状态</t>
        </is>
      </c>
      <c r="H4" s="17" t="inlineStr">
        <is>
          <t>应对措施</t>
        </is>
      </c>
      <c r="I4" s="17" t="inlineStr">
        <is>
          <t>截止日期</t>
        </is>
      </c>
    </row>
    <row r="5">
      <c r="A5" s="19" t="n">
        <v>1</v>
      </c>
      <c r="B5" s="9" t="inlineStr">
        <is>
          <t>核心研发人员流失风险</t>
        </is>
      </c>
      <c r="C5" s="19" t="inlineStr">
        <is>
          <t>人才</t>
        </is>
      </c>
      <c r="D5" s="19" t="inlineStr">
        <is>
          <t>人才部</t>
        </is>
      </c>
      <c r="E5" s="19" t="inlineStr">
        <is>
          <t>研发部负责人</t>
        </is>
      </c>
      <c r="F5" s="44" t="inlineStr">
        <is>
          <t>高</t>
        </is>
      </c>
      <c r="G5" s="19" t="inlineStr">
        <is>
          <t>进行中</t>
        </is>
      </c>
      <c r="H5" s="9" t="inlineStr">
        <is>
          <t>优化薪酬包并启动关键岗位继任计划</t>
        </is>
      </c>
      <c r="I5" s="19" t="inlineStr">
        <is>
          <t>2026-08-31</t>
        </is>
      </c>
    </row>
    <row r="6">
      <c r="A6" s="19" t="n">
        <v>2</v>
      </c>
      <c r="B6" s="9" t="inlineStr">
        <is>
          <t>大客户续约谈判滞后</t>
        </is>
      </c>
      <c r="C6" s="19" t="inlineStr">
        <is>
          <t>客户</t>
        </is>
      </c>
      <c r="D6" s="19" t="inlineStr">
        <is>
          <t>客户部</t>
        </is>
      </c>
      <c r="E6" s="19" t="inlineStr">
        <is>
          <t>销售总监</t>
        </is>
      </c>
      <c r="F6" s="45" t="inlineStr">
        <is>
          <t>中</t>
        </is>
      </c>
      <c r="G6" s="19" t="inlineStr">
        <is>
          <t>进行中</t>
        </is>
      </c>
      <c r="H6" s="9" t="inlineStr">
        <is>
          <t>高管介入并给出阶梯折扣方案</t>
        </is>
      </c>
      <c r="I6" s="19" t="inlineStr">
        <is>
          <t>2026-07-30</t>
        </is>
      </c>
    </row>
    <row r="7">
      <c r="A7" s="19" t="n">
        <v>3</v>
      </c>
      <c r="B7" s="9" t="inlineStr">
        <is>
          <t>交付工期压力上升</t>
        </is>
      </c>
      <c r="C7" s="19" t="inlineStr">
        <is>
          <t>交付</t>
        </is>
      </c>
      <c r="D7" s="19" t="inlineStr">
        <is>
          <t>交付部</t>
        </is>
      </c>
      <c r="E7" s="19" t="inlineStr">
        <is>
          <t>实施负责人</t>
        </is>
      </c>
      <c r="F7" s="45" t="inlineStr">
        <is>
          <t>中</t>
        </is>
      </c>
      <c r="G7" s="19" t="inlineStr">
        <is>
          <t>监控中</t>
        </is>
      </c>
      <c r="H7" s="9" t="inlineStr">
        <is>
          <t>引入外部协作资源并排期优化</t>
        </is>
      </c>
      <c r="I7" s="19" t="inlineStr">
        <is>
          <t>2026-08-15</t>
        </is>
      </c>
    </row>
    <row r="8">
      <c r="A8" s="19" t="n">
        <v>4</v>
      </c>
      <c r="B8" s="9" t="inlineStr">
        <is>
          <t>成本费用率高于目标</t>
        </is>
      </c>
      <c r="C8" s="19" t="inlineStr">
        <is>
          <t>财务</t>
        </is>
      </c>
      <c r="D8" s="19" t="inlineStr">
        <is>
          <t>财务部</t>
        </is>
      </c>
      <c r="E8" s="19" t="inlineStr">
        <is>
          <t>韩雪</t>
        </is>
      </c>
      <c r="F8" s="45" t="inlineStr">
        <is>
          <t>中</t>
        </is>
      </c>
      <c r="G8" s="19" t="inlineStr">
        <is>
          <t>进行中</t>
        </is>
      </c>
      <c r="H8" s="9" t="inlineStr">
        <is>
          <t>压缩非必要差旅与外包支出</t>
        </is>
      </c>
      <c r="I8" s="19" t="inlineStr">
        <is>
          <t>2026-09-30</t>
        </is>
      </c>
    </row>
    <row r="9">
      <c r="A9" s="19" t="n">
        <v>5</v>
      </c>
      <c r="B9" s="9" t="inlineStr">
        <is>
          <t>数据安全合规待加固</t>
        </is>
      </c>
      <c r="C9" s="19" t="inlineStr">
        <is>
          <t>合规</t>
        </is>
      </c>
      <c r="D9" s="19" t="inlineStr">
        <is>
          <t>合规部</t>
        </is>
      </c>
      <c r="E9" s="19" t="inlineStr">
        <is>
          <t>技术负责人</t>
        </is>
      </c>
      <c r="F9" s="44" t="inlineStr">
        <is>
          <t>高</t>
        </is>
      </c>
      <c r="G9" s="19" t="inlineStr">
        <is>
          <t>规划中</t>
        </is>
      </c>
      <c r="H9" s="9" t="inlineStr">
        <is>
          <t>完成等保二级整改与渗透测试</t>
        </is>
      </c>
      <c r="I9" s="19" t="inlineStr">
        <is>
          <t>2026-10-31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2026-07-15T10:50:47Z</dcterms:created>
  <dcterms:modified xsi:type="dcterms:W3CDTF">2026-07-15T10:50:47Z</dcterms:modified>
</cp:coreProperties>
</file>