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广州运营管理有限公司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广州运营管理有限公司</t>
        </is>
      </c>
    </row>
    <row r="6">
      <c r="A6" s="3" t="inlineStr">
        <is>
          <t>所属区域</t>
        </is>
      </c>
      <c r="B6" s="4" t="inlineStr">
        <is>
          <t>华南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林涛</t>
        </is>
      </c>
    </row>
    <row r="11">
      <c r="A11" s="3" t="inlineStr">
        <is>
          <t>财务负责人</t>
        </is>
      </c>
      <c r="B11" s="4" t="inlineStr">
        <is>
          <t>周琳</t>
        </is>
      </c>
    </row>
    <row r="12">
      <c r="A12" s="3" t="inlineStr">
        <is>
          <t>编　　制</t>
        </is>
      </c>
      <c r="B12" s="4" t="inlineStr">
        <is>
          <t>赵宇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3359.2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411.3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30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261</v>
      </c>
      <c r="D12" s="22" t="n">
        <v>27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0.9491000000000001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0.8702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17505729</v>
      </c>
      <c r="C5" s="23" t="n">
        <v>15248893</v>
      </c>
      <c r="D5" s="23" t="n">
        <v>16299561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8871470</v>
      </c>
      <c r="C6" s="23" t="n">
        <v>7727761</v>
      </c>
      <c r="D6" s="23" t="n">
        <v>8260214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5002682</v>
      </c>
      <c r="C7" s="23" t="n">
        <v>4357737</v>
      </c>
      <c r="D7" s="23" t="n">
        <v>4657991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2897644</v>
      </c>
      <c r="C8" s="23" t="n">
        <v>2524080</v>
      </c>
      <c r="D8" s="23" t="n">
        <v>2697993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20946602</v>
      </c>
      <c r="C10" s="23" t="n">
        <v>18246169</v>
      </c>
      <c r="D10" s="23" t="n">
        <v>19503354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1192494</v>
      </c>
      <c r="C11" s="23" t="n">
        <v>1038758</v>
      </c>
      <c r="D11" s="23" t="n">
        <v>1110330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6299377</v>
      </c>
      <c r="C13" s="23" t="n">
        <v>5487262</v>
      </c>
      <c r="D13" s="23" t="n">
        <v>5865342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4006499</v>
      </c>
      <c r="C14" s="23" t="n">
        <v>3489982</v>
      </c>
      <c r="D14" s="23" t="n">
        <v>3730446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5754467</v>
      </c>
      <c r="C15" s="23" t="n">
        <v>5012602</v>
      </c>
      <c r="D15" s="23" t="n">
        <v>5357977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-37505</v>
      </c>
      <c r="C16" s="23" t="n">
        <v>-32670</v>
      </c>
      <c r="D16" s="23" t="n">
        <v>-34921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344660</v>
      </c>
      <c r="C19" s="23" t="n">
        <v>300226</v>
      </c>
      <c r="D19" s="23" t="n">
        <v>320912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8733753</v>
      </c>
      <c r="C5" s="23" t="n">
        <v>8161308</v>
      </c>
      <c r="D5" s="21">
        <f>C5/B5</f>
        <v/>
      </c>
      <c r="E5" s="23" t="n">
        <v>7109153</v>
      </c>
      <c r="F5" s="23" t="n">
        <v>7598983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5373462</v>
      </c>
      <c r="C6" s="23" t="n">
        <v>5587849</v>
      </c>
      <c r="D6" s="21">
        <f>C6/B6</f>
        <v/>
      </c>
      <c r="E6" s="23" t="n">
        <v>4867464</v>
      </c>
      <c r="F6" s="23" t="n">
        <v>5202839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4691084</v>
      </c>
      <c r="C7" s="23" t="n">
        <v>4816005</v>
      </c>
      <c r="D7" s="21">
        <f>C7/B7</f>
        <v/>
      </c>
      <c r="E7" s="23" t="n">
        <v>4195126</v>
      </c>
      <c r="F7" s="23" t="n">
        <v>4484176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3321601</v>
      </c>
      <c r="C8" s="23" t="n">
        <v>3529899</v>
      </c>
      <c r="D8" s="21">
        <f>C8/B8</f>
        <v/>
      </c>
      <c r="E8" s="23" t="n">
        <v>3074825</v>
      </c>
      <c r="F8" s="23" t="n">
        <v>3286684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4330454</v>
      </c>
      <c r="C9" s="23" t="n">
        <v>4316197</v>
      </c>
      <c r="D9" s="21">
        <f>C9/B9</f>
        <v/>
      </c>
      <c r="E9" s="23" t="n">
        <v>3759753</v>
      </c>
      <c r="F9" s="23" t="n">
        <v>4018805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9195144</v>
      </c>
      <c r="C16" s="21">
        <f>B16/$B$20</f>
        <v/>
      </c>
    </row>
    <row r="17">
      <c r="A17" s="4" t="inlineStr">
        <is>
          <t>周边省份</t>
        </is>
      </c>
      <c r="B17" s="23" t="n">
        <v>7449858</v>
      </c>
      <c r="C17" s="21">
        <f>B17/$B$20</f>
        <v/>
      </c>
    </row>
    <row r="18">
      <c r="A18" s="4" t="inlineStr">
        <is>
          <t>线上直销</t>
        </is>
      </c>
      <c r="B18" s="23" t="n">
        <v>5045220</v>
      </c>
      <c r="C18" s="21">
        <f>B18/$B$20</f>
        <v/>
      </c>
    </row>
    <row r="19">
      <c r="A19" s="4" t="inlineStr">
        <is>
          <t>渠道代理</t>
        </is>
      </c>
      <c r="B19" s="23" t="n">
        <v>3711846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12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6</v>
      </c>
      <c r="C6" s="22" t="n">
        <v>1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4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4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10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25.3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3294</v>
      </c>
      <c r="C5" s="22" t="n">
        <v>3190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0.8758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42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0.9814000000000001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0.8374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0.9491000000000001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0.8702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0.9447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周琳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2026-07-15T10:50:43Z</dcterms:created>
  <dcterms:modified xsi:type="dcterms:W3CDTF">2026-07-15T10:50:44Z</dcterms:modified>
</cp:coreProperties>
</file>