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重庆运营管理有限公司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重庆运营管理有限公司</t>
        </is>
      </c>
    </row>
    <row r="6">
      <c r="A6" s="3" t="inlineStr">
        <is>
          <t>所属区域</t>
        </is>
      </c>
      <c r="B6" s="4" t="inlineStr">
        <is>
          <t>西南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秦涛</t>
        </is>
      </c>
    </row>
    <row r="11">
      <c r="A11" s="3" t="inlineStr">
        <is>
          <t>财务负责人</t>
        </is>
      </c>
      <c r="B11" s="4" t="inlineStr">
        <is>
          <t>邹琳</t>
        </is>
      </c>
    </row>
    <row r="12">
      <c r="A12" s="3" t="inlineStr">
        <is>
          <t>编　　制</t>
        </is>
      </c>
      <c r="B12" s="4" t="inlineStr">
        <is>
          <t>雷宇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1614.6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197.7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14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126</v>
      </c>
      <c r="D12" s="22" t="n">
        <v>14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0.9223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0.8789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8251608</v>
      </c>
      <c r="C5" s="23" t="n">
        <v>7328249</v>
      </c>
      <c r="D5" s="23" t="n">
        <v>8394311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4567503</v>
      </c>
      <c r="C6" s="23" t="n">
        <v>4056397</v>
      </c>
      <c r="D6" s="23" t="n">
        <v>4646493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2409190</v>
      </c>
      <c r="C7" s="23" t="n">
        <v>2139600</v>
      </c>
      <c r="D7" s="23" t="n">
        <v>2450855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1247215</v>
      </c>
      <c r="C8" s="23" t="n">
        <v>1107651</v>
      </c>
      <c r="D8" s="23" t="n">
        <v>1268784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9664156</v>
      </c>
      <c r="C10" s="23" t="n">
        <v>8582732</v>
      </c>
      <c r="D10" s="23" t="n">
        <v>9831288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660710</v>
      </c>
      <c r="C11" s="23" t="n">
        <v>586776</v>
      </c>
      <c r="D11" s="23" t="n">
        <v>672136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2791964</v>
      </c>
      <c r="C13" s="23" t="n">
        <v>2479542</v>
      </c>
      <c r="D13" s="23" t="n">
        <v>2840248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2034871</v>
      </c>
      <c r="C14" s="23" t="n">
        <v>1807168</v>
      </c>
      <c r="D14" s="23" t="n">
        <v>2070062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3030657</v>
      </c>
      <c r="C15" s="23" t="n">
        <v>2691525</v>
      </c>
      <c r="D15" s="23" t="n">
        <v>3083069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76163</v>
      </c>
      <c r="C16" s="23" t="n">
        <v>67640</v>
      </c>
      <c r="D16" s="23" t="n">
        <v>77480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99830</v>
      </c>
      <c r="C19" s="23" t="n">
        <v>88659</v>
      </c>
      <c r="D19" s="23" t="n">
        <v>101556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3911830</v>
      </c>
      <c r="C5" s="23" t="n">
        <v>3761463</v>
      </c>
      <c r="D5" s="21">
        <f>C5/B5</f>
        <v/>
      </c>
      <c r="E5" s="23" t="n">
        <v>3340553</v>
      </c>
      <c r="F5" s="23" t="n">
        <v>3826514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2700226</v>
      </c>
      <c r="C6" s="23" t="n">
        <v>2864921</v>
      </c>
      <c r="D6" s="21">
        <f>C6/B6</f>
        <v/>
      </c>
      <c r="E6" s="23" t="n">
        <v>2544335</v>
      </c>
      <c r="F6" s="23" t="n">
        <v>2914467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2201889</v>
      </c>
      <c r="C7" s="23" t="n">
        <v>2281711</v>
      </c>
      <c r="D7" s="21">
        <f>C7/B7</f>
        <v/>
      </c>
      <c r="E7" s="23" t="n">
        <v>2026386</v>
      </c>
      <c r="F7" s="23" t="n">
        <v>2321171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1684025</v>
      </c>
      <c r="C8" s="23" t="n">
        <v>1750545</v>
      </c>
      <c r="D8" s="21">
        <f>C8/B8</f>
        <v/>
      </c>
      <c r="E8" s="23" t="n">
        <v>1554658</v>
      </c>
      <c r="F8" s="23" t="n">
        <v>1780819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2176579</v>
      </c>
      <c r="C9" s="23" t="n">
        <v>2047710</v>
      </c>
      <c r="D9" s="21">
        <f>C9/B9</f>
        <v/>
      </c>
      <c r="E9" s="23" t="n">
        <v>1818570</v>
      </c>
      <c r="F9" s="23" t="n">
        <v>2083123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4829814</v>
      </c>
      <c r="C16" s="21">
        <f>B16/$B$20</f>
        <v/>
      </c>
    </row>
    <row r="17">
      <c r="A17" s="4" t="inlineStr">
        <is>
          <t>周边省份</t>
        </is>
      </c>
      <c r="B17" s="23" t="n">
        <v>3300227</v>
      </c>
      <c r="C17" s="21">
        <f>B17/$B$20</f>
        <v/>
      </c>
    </row>
    <row r="18">
      <c r="A18" s="4" t="inlineStr">
        <is>
          <t>线上直销</t>
        </is>
      </c>
      <c r="B18" s="23" t="n">
        <v>2539268</v>
      </c>
      <c r="C18" s="21">
        <f>B18/$B$20</f>
        <v/>
      </c>
    </row>
    <row r="19">
      <c r="A19" s="4" t="inlineStr">
        <is>
          <t>渠道代理</t>
        </is>
      </c>
      <c r="B19" s="23" t="n">
        <v>1771400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6</v>
      </c>
      <c r="C5" s="22" t="n">
        <v>0</v>
      </c>
      <c r="D5" s="22" t="n">
        <v>0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3</v>
      </c>
      <c r="C6" s="22" t="n">
        <v>0</v>
      </c>
      <c r="D6" s="22" t="n">
        <v>0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2</v>
      </c>
      <c r="C7" s="22" t="n">
        <v>1</v>
      </c>
      <c r="D7" s="22" t="n">
        <v>0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2</v>
      </c>
      <c r="C8" s="22" t="n">
        <v>1</v>
      </c>
      <c r="D8" s="22" t="n">
        <v>0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1</v>
      </c>
      <c r="D9" s="22" t="n">
        <v>1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1</v>
      </c>
      <c r="D10" s="22" t="n">
        <v>1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5</v>
      </c>
    </row>
    <row r="15">
      <c r="A15" s="4" t="inlineStr">
        <is>
          <t>已到岗(人)</t>
        </is>
      </c>
      <c r="B15" s="41" t="n">
        <v>4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32.2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1636</v>
      </c>
      <c r="C5" s="22" t="n">
        <v>1540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0.8088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32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0.9852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0.7718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0.9223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0.8789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0.968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邹琳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2026-07-15T10:50:48Z</dcterms:created>
  <dcterms:modified xsi:type="dcterms:W3CDTF">2026-07-15T10:50:48Z</dcterms:modified>
</cp:coreProperties>
</file>