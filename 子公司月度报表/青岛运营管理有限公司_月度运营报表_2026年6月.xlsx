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青岛运营管理有限公司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青岛运营管理有限公司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潘伟</t>
        </is>
      </c>
    </row>
    <row r="11">
      <c r="A11" s="3" t="inlineStr">
        <is>
          <t>财务负责人</t>
        </is>
      </c>
      <c r="B11" s="4" t="inlineStr">
        <is>
          <t>段丽</t>
        </is>
      </c>
    </row>
    <row r="12">
      <c r="A12" s="3" t="inlineStr">
        <is>
          <t>编　　制</t>
        </is>
      </c>
      <c r="B12" s="4" t="inlineStr">
        <is>
          <t>夏涛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1487.5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182.1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13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117</v>
      </c>
      <c r="D12" s="22" t="n">
        <v>13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0.9524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0.9036999999999999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7700772</v>
      </c>
      <c r="C5" s="23" t="n">
        <v>6444161</v>
      </c>
      <c r="D5" s="23" t="n">
        <v>7320125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4126724</v>
      </c>
      <c r="C6" s="23" t="n">
        <v>3453326</v>
      </c>
      <c r="D6" s="23" t="n">
        <v>3922741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2163736</v>
      </c>
      <c r="C7" s="23" t="n">
        <v>1810658</v>
      </c>
      <c r="D7" s="23" t="n">
        <v>2056783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1187424</v>
      </c>
      <c r="C8" s="23" t="n">
        <v>993660</v>
      </c>
      <c r="D8" s="23" t="n">
        <v>1128730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8920137</v>
      </c>
      <c r="C10" s="23" t="n">
        <v>7464550</v>
      </c>
      <c r="D10" s="23" t="n">
        <v>8479218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455580</v>
      </c>
      <c r="C11" s="23" t="n">
        <v>381238</v>
      </c>
      <c r="D11" s="23" t="n">
        <v>433061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2581688</v>
      </c>
      <c r="C13" s="23" t="n">
        <v>2160408</v>
      </c>
      <c r="D13" s="23" t="n">
        <v>2454076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1898312</v>
      </c>
      <c r="C14" s="23" t="n">
        <v>1588546</v>
      </c>
      <c r="D14" s="23" t="n">
        <v>1804479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3090137</v>
      </c>
      <c r="C15" s="23" t="n">
        <v>2585889</v>
      </c>
      <c r="D15" s="23" t="n">
        <v>2937393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114367</v>
      </c>
      <c r="C16" s="23" t="n">
        <v>95705</v>
      </c>
      <c r="D16" s="23" t="n">
        <v>108714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175255</v>
      </c>
      <c r="C19" s="23" t="n">
        <v>146657</v>
      </c>
      <c r="D19" s="23" t="n">
        <v>166592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3486667</v>
      </c>
      <c r="C5" s="23" t="n">
        <v>3492005</v>
      </c>
      <c r="D5" s="21">
        <f>C5/B5</f>
        <v/>
      </c>
      <c r="E5" s="23" t="n">
        <v>2922180</v>
      </c>
      <c r="F5" s="23" t="n">
        <v>3319396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2562723</v>
      </c>
      <c r="C6" s="23" t="n">
        <v>2556038</v>
      </c>
      <c r="D6" s="21">
        <f>C6/B6</f>
        <v/>
      </c>
      <c r="E6" s="23" t="n">
        <v>2138944</v>
      </c>
      <c r="F6" s="23" t="n">
        <v>2429694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2074752</v>
      </c>
      <c r="C7" s="23" t="n">
        <v>1982826</v>
      </c>
      <c r="D7" s="21">
        <f>C7/B7</f>
        <v/>
      </c>
      <c r="E7" s="23" t="n">
        <v>1659269</v>
      </c>
      <c r="F7" s="23" t="n">
        <v>1884816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1573430</v>
      </c>
      <c r="C8" s="23" t="n">
        <v>1596995</v>
      </c>
      <c r="D8" s="21">
        <f>C8/B8</f>
        <v/>
      </c>
      <c r="E8" s="23" t="n">
        <v>1336397</v>
      </c>
      <c r="F8" s="23" t="n">
        <v>1518056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1756075</v>
      </c>
      <c r="C9" s="23" t="n">
        <v>1722185</v>
      </c>
      <c r="D9" s="21">
        <f>C9/B9</f>
        <v/>
      </c>
      <c r="E9" s="23" t="n">
        <v>1441159</v>
      </c>
      <c r="F9" s="23" t="n">
        <v>1637058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4227589</v>
      </c>
      <c r="C16" s="21">
        <f>B16/$B$20</f>
        <v/>
      </c>
    </row>
    <row r="17">
      <c r="A17" s="4" t="inlineStr">
        <is>
          <t>周边省份</t>
        </is>
      </c>
      <c r="B17" s="23" t="n">
        <v>3089056</v>
      </c>
      <c r="C17" s="21">
        <f>B17/$B$20</f>
        <v/>
      </c>
    </row>
    <row r="18">
      <c r="A18" s="4" t="inlineStr">
        <is>
          <t>线上直销</t>
        </is>
      </c>
      <c r="B18" s="23" t="n">
        <v>2212307</v>
      </c>
      <c r="C18" s="21">
        <f>B18/$B$20</f>
        <v/>
      </c>
    </row>
    <row r="19">
      <c r="A19" s="4" t="inlineStr">
        <is>
          <t>渠道代理</t>
        </is>
      </c>
      <c r="B19" s="23" t="n">
        <v>1776575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7</v>
      </c>
    </row>
    <row r="15">
      <c r="A15" s="4" t="inlineStr">
        <is>
          <t>已到岗(人)</t>
        </is>
      </c>
      <c r="B15" s="41" t="n">
        <v>2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31.7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1125</v>
      </c>
      <c r="C5" s="22" t="n">
        <v>1430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0.8264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36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0.9817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0.8448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0.9524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0.9036999999999999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0.9187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段丽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2026-07-15T10:50:49Z</dcterms:created>
  <dcterms:modified xsi:type="dcterms:W3CDTF">2026-07-15T10:50:49Z</dcterms:modified>
</cp:coreProperties>
</file>