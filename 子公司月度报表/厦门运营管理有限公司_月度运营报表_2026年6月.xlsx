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厦门运营管理有限公司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厦门运营管理有限公司</t>
        </is>
      </c>
    </row>
    <row r="6">
      <c r="A6" s="3" t="inlineStr">
        <is>
          <t>所属区域</t>
        </is>
      </c>
      <c r="B6" s="4" t="inlineStr">
        <is>
          <t>华东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董强</t>
        </is>
      </c>
    </row>
    <row r="11">
      <c r="A11" s="3" t="inlineStr">
        <is>
          <t>财务负责人</t>
        </is>
      </c>
      <c r="B11" s="4" t="inlineStr">
        <is>
          <t>范静</t>
        </is>
      </c>
    </row>
    <row r="12">
      <c r="A12" s="3" t="inlineStr">
        <is>
          <t>编　　制</t>
        </is>
      </c>
      <c r="B12" s="4" t="inlineStr">
        <is>
          <t>石磊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1418.6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173.7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108</v>
      </c>
      <c r="D12" s="22" t="n">
        <v>11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0.9402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0.944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7146440</v>
      </c>
      <c r="C5" s="23" t="n">
        <v>6279824</v>
      </c>
      <c r="D5" s="23" t="n">
        <v>7367464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4047426</v>
      </c>
      <c r="C6" s="23" t="n">
        <v>3556613</v>
      </c>
      <c r="D6" s="23" t="n">
        <v>4172604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2218358</v>
      </c>
      <c r="C7" s="23" t="n">
        <v>1949348</v>
      </c>
      <c r="D7" s="23" t="n">
        <v>2286967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1063407</v>
      </c>
      <c r="C8" s="23" t="n">
        <v>934453</v>
      </c>
      <c r="D8" s="23" t="n">
        <v>1096296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8408926</v>
      </c>
      <c r="C10" s="23" t="n">
        <v>7389214</v>
      </c>
      <c r="D10" s="23" t="n">
        <v>8668996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549761</v>
      </c>
      <c r="C11" s="23" t="n">
        <v>483094</v>
      </c>
      <c r="D11" s="23" t="n">
        <v>566764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2577459</v>
      </c>
      <c r="C13" s="23" t="n">
        <v>2264902</v>
      </c>
      <c r="D13" s="23" t="n">
        <v>2657174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1772964</v>
      </c>
      <c r="C14" s="23" t="n">
        <v>1557965</v>
      </c>
      <c r="D14" s="23" t="n">
        <v>1827798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2702166</v>
      </c>
      <c r="C15" s="23" t="n">
        <v>2374487</v>
      </c>
      <c r="D15" s="23" t="n">
        <v>2785738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-133266</v>
      </c>
      <c r="C16" s="23" t="n">
        <v>-117105</v>
      </c>
      <c r="D16" s="23" t="n">
        <v>-137388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218469</v>
      </c>
      <c r="C19" s="23" t="n">
        <v>191976</v>
      </c>
      <c r="D19" s="23" t="n">
        <v>225226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3375612</v>
      </c>
      <c r="C5" s="23" t="n">
        <v>3350907</v>
      </c>
      <c r="D5" s="21">
        <f>C5/B5</f>
        <v/>
      </c>
      <c r="E5" s="23" t="n">
        <v>2944558</v>
      </c>
      <c r="F5" s="23" t="n">
        <v>3454543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2229419</v>
      </c>
      <c r="C6" s="23" t="n">
        <v>2351125</v>
      </c>
      <c r="D6" s="21">
        <f>C6/B6</f>
        <v/>
      </c>
      <c r="E6" s="23" t="n">
        <v>2066015</v>
      </c>
      <c r="F6" s="23" t="n">
        <v>2423840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2188079</v>
      </c>
      <c r="C7" s="23" t="n">
        <v>2068362</v>
      </c>
      <c r="D7" s="21">
        <f>C7/B7</f>
        <v/>
      </c>
      <c r="E7" s="23" t="n">
        <v>1817541</v>
      </c>
      <c r="F7" s="23" t="n">
        <v>2132332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1506897</v>
      </c>
      <c r="C8" s="23" t="n">
        <v>1594914</v>
      </c>
      <c r="D8" s="21">
        <f>C8/B8</f>
        <v/>
      </c>
      <c r="E8" s="23" t="n">
        <v>1401506</v>
      </c>
      <c r="F8" s="23" t="n">
        <v>1644241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1832796</v>
      </c>
      <c r="C9" s="23" t="n">
        <v>1729926</v>
      </c>
      <c r="D9" s="21">
        <f>C9/B9</f>
        <v/>
      </c>
      <c r="E9" s="23" t="n">
        <v>1520146</v>
      </c>
      <c r="F9" s="23" t="n">
        <v>1783429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4441985</v>
      </c>
      <c r="C16" s="21">
        <f>B16/$B$20</f>
        <v/>
      </c>
    </row>
    <row r="17">
      <c r="A17" s="4" t="inlineStr">
        <is>
          <t>周边省份</t>
        </is>
      </c>
      <c r="B17" s="23" t="n">
        <v>3099716</v>
      </c>
      <c r="C17" s="21">
        <f>B17/$B$20</f>
        <v/>
      </c>
    </row>
    <row r="18">
      <c r="A18" s="4" t="inlineStr">
        <is>
          <t>线上直销</t>
        </is>
      </c>
      <c r="B18" s="23" t="n">
        <v>2160432</v>
      </c>
      <c r="C18" s="21">
        <f>B18/$B$20</f>
        <v/>
      </c>
    </row>
    <row r="19">
      <c r="A19" s="4" t="inlineStr">
        <is>
          <t>渠道代理</t>
        </is>
      </c>
      <c r="B19" s="23" t="n">
        <v>1786244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0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1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1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0</v>
      </c>
      <c r="D8" s="22" t="n">
        <v>1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0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6</v>
      </c>
    </row>
    <row r="15">
      <c r="A15" s="4" t="inlineStr">
        <is>
          <t>已到岗(人)</t>
        </is>
      </c>
      <c r="B15" s="41" t="n">
        <v>2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23.1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1194</v>
      </c>
      <c r="C5" s="22" t="n">
        <v>1320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0.9265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39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0.9906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0.8206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0.9402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0.944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0.9669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范静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2026-07-15T10:50:49Z</dcterms:created>
  <dcterms:modified xsi:type="dcterms:W3CDTF">2026-07-15T10:50:49Z</dcterms:modified>
</cp:coreProperties>
</file>