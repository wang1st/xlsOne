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武汉运营管理有限公司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武汉运营管理有限公司</t>
        </is>
      </c>
    </row>
    <row r="6">
      <c r="A6" s="3" t="inlineStr">
        <is>
          <t>所属区域</t>
        </is>
      </c>
      <c r="B6" s="4" t="inlineStr">
        <is>
          <t>华中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刘洋</t>
        </is>
      </c>
    </row>
    <row r="11">
      <c r="A11" s="3" t="inlineStr">
        <is>
          <t>财务负责人</t>
        </is>
      </c>
      <c r="B11" s="4" t="inlineStr">
        <is>
          <t>沈洁</t>
        </is>
      </c>
    </row>
    <row r="12">
      <c r="A12" s="3" t="inlineStr">
        <is>
          <t>编　　制</t>
        </is>
      </c>
      <c r="B12" s="4" t="inlineStr">
        <is>
          <t>曹阳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1902.4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232.9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16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144</v>
      </c>
      <c r="D12" s="22" t="n">
        <v>16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0.9807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0.8617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9700387</v>
      </c>
      <c r="C5" s="23" t="n">
        <v>8516582</v>
      </c>
      <c r="D5" s="23" t="n">
        <v>9229674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5254700</v>
      </c>
      <c r="C6" s="23" t="n">
        <v>4613433</v>
      </c>
      <c r="D6" s="23" t="n">
        <v>4999715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2980776</v>
      </c>
      <c r="C7" s="23" t="n">
        <v>2617011</v>
      </c>
      <c r="D7" s="23" t="n">
        <v>2836133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1476201</v>
      </c>
      <c r="C8" s="23" t="n">
        <v>1296050</v>
      </c>
      <c r="D8" s="23" t="n">
        <v>1404568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11661430</v>
      </c>
      <c r="C10" s="23" t="n">
        <v>10238306</v>
      </c>
      <c r="D10" s="23" t="n">
        <v>11095557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632800</v>
      </c>
      <c r="C11" s="23" t="n">
        <v>555575</v>
      </c>
      <c r="D11" s="23" t="n">
        <v>602093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3027376</v>
      </c>
      <c r="C13" s="23" t="n">
        <v>2657924</v>
      </c>
      <c r="D13" s="23" t="n">
        <v>2880472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2387183</v>
      </c>
      <c r="C14" s="23" t="n">
        <v>2095859</v>
      </c>
      <c r="D14" s="23" t="n">
        <v>2271344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3758676</v>
      </c>
      <c r="C15" s="23" t="n">
        <v>3299979</v>
      </c>
      <c r="D15" s="23" t="n">
        <v>3576285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-210041</v>
      </c>
      <c r="C16" s="23" t="n">
        <v>-184408</v>
      </c>
      <c r="D16" s="23" t="n">
        <v>-199849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150127</v>
      </c>
      <c r="C19" s="23" t="n">
        <v>131806</v>
      </c>
      <c r="D19" s="23" t="n">
        <v>142842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4367927</v>
      </c>
      <c r="C5" s="23" t="n">
        <v>4712024</v>
      </c>
      <c r="D5" s="21">
        <f>C5/B5</f>
        <v/>
      </c>
      <c r="E5" s="23" t="n">
        <v>4136983</v>
      </c>
      <c r="F5" s="23" t="n">
        <v>4483372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3194440</v>
      </c>
      <c r="C6" s="23" t="n">
        <v>3333342</v>
      </c>
      <c r="D6" s="21">
        <f>C6/B6</f>
        <v/>
      </c>
      <c r="E6" s="23" t="n">
        <v>2926551</v>
      </c>
      <c r="F6" s="23" t="n">
        <v>3171591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3028702</v>
      </c>
      <c r="C7" s="23" t="n">
        <v>2927185</v>
      </c>
      <c r="D7" s="21">
        <f>C7/B7</f>
        <v/>
      </c>
      <c r="E7" s="23" t="n">
        <v>2569960</v>
      </c>
      <c r="F7" s="23" t="n">
        <v>2785143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1958500</v>
      </c>
      <c r="C8" s="23" t="n">
        <v>2103941</v>
      </c>
      <c r="D8" s="21">
        <f>C8/B8</f>
        <v/>
      </c>
      <c r="E8" s="23" t="n">
        <v>1847183</v>
      </c>
      <c r="F8" s="23" t="n">
        <v>2001847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2537957</v>
      </c>
      <c r="C9" s="23" t="n">
        <v>2571475</v>
      </c>
      <c r="D9" s="21">
        <f>C9/B9</f>
        <v/>
      </c>
      <c r="E9" s="23" t="n">
        <v>2257660</v>
      </c>
      <c r="F9" s="23" t="n">
        <v>2446694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6139974</v>
      </c>
      <c r="C16" s="21">
        <f>B16/$B$20</f>
        <v/>
      </c>
    </row>
    <row r="17">
      <c r="A17" s="4" t="inlineStr">
        <is>
          <t>周边省份</t>
        </is>
      </c>
      <c r="B17" s="23" t="n">
        <v>4299280</v>
      </c>
      <c r="C17" s="21">
        <f>B17/$B$20</f>
        <v/>
      </c>
    </row>
    <row r="18">
      <c r="A18" s="4" t="inlineStr">
        <is>
          <t>线上直销</t>
        </is>
      </c>
      <c r="B18" s="23" t="n">
        <v>3372114</v>
      </c>
      <c r="C18" s="21">
        <f>B18/$B$20</f>
        <v/>
      </c>
    </row>
    <row r="19">
      <c r="A19" s="4" t="inlineStr">
        <is>
          <t>渠道代理</t>
        </is>
      </c>
      <c r="B19" s="23" t="n">
        <v>2232731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6</v>
      </c>
      <c r="C5" s="22" t="n">
        <v>1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4</v>
      </c>
      <c r="C6" s="22" t="n">
        <v>1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9</v>
      </c>
    </row>
    <row r="15">
      <c r="A15" s="4" t="inlineStr">
        <is>
          <t>已到岗(人)</t>
        </is>
      </c>
      <c r="B15" s="41" t="n">
        <v>4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26.2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1604</v>
      </c>
      <c r="C5" s="22" t="n">
        <v>1760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0.8651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32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0.9798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0.7976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0.9807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0.8617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0.9235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沈洁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2026-07-15T10:50:46Z</dcterms:created>
  <dcterms:modified xsi:type="dcterms:W3CDTF">2026-07-15T10:50:47Z</dcterms:modified>
</cp:coreProperties>
</file>