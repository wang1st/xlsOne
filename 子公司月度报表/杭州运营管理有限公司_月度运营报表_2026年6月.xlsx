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杭州运营管理有限公司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杭州运营管理有限公司</t>
        </is>
      </c>
    </row>
    <row r="6">
      <c r="A6" s="3" t="inlineStr">
        <is>
          <t>所属区域</t>
        </is>
      </c>
      <c r="B6" s="4" t="inlineStr">
        <is>
          <t>华东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冯杰</t>
        </is>
      </c>
    </row>
    <row r="11">
      <c r="A11" s="3" t="inlineStr">
        <is>
          <t>财务负责人</t>
        </is>
      </c>
      <c r="B11" s="4" t="inlineStr">
        <is>
          <t>何敏</t>
        </is>
      </c>
    </row>
    <row r="12">
      <c r="A12" s="3" t="inlineStr">
        <is>
          <t>编　　制</t>
        </is>
      </c>
      <c r="B12" s="4" t="inlineStr">
        <is>
          <t>许晨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2677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327.8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0.2125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24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207</v>
      </c>
      <c r="D12" s="22" t="n">
        <v>21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0.9848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0.9016999999999999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13847353</v>
      </c>
      <c r="C5" s="23" t="n">
        <v>11675677</v>
      </c>
      <c r="D5" s="23" t="n">
        <v>14158848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7405745</v>
      </c>
      <c r="C6" s="23" t="n">
        <v>6244304</v>
      </c>
      <c r="D6" s="23" t="n">
        <v>7572336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3946891</v>
      </c>
      <c r="C7" s="23" t="n">
        <v>3327901</v>
      </c>
      <c r="D7" s="23" t="n">
        <v>4035676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2116736</v>
      </c>
      <c r="C8" s="23" t="n">
        <v>1784769</v>
      </c>
      <c r="D8" s="23" t="n">
        <v>2164352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16957215</v>
      </c>
      <c r="C10" s="23" t="n">
        <v>14297820</v>
      </c>
      <c r="D10" s="23" t="n">
        <v>17338666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1078918</v>
      </c>
      <c r="C11" s="23" t="n">
        <v>909712</v>
      </c>
      <c r="D11" s="23" t="n">
        <v>1103188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4643678</v>
      </c>
      <c r="C13" s="23" t="n">
        <v>3915411</v>
      </c>
      <c r="D13" s="23" t="n">
        <v>4748137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3420967</v>
      </c>
      <c r="C14" s="23" t="n">
        <v>2884458</v>
      </c>
      <c r="D14" s="23" t="n">
        <v>3497921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4553691</v>
      </c>
      <c r="C15" s="23" t="n">
        <v>3839537</v>
      </c>
      <c r="D15" s="23" t="n">
        <v>4656126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-286207</v>
      </c>
      <c r="C16" s="23" t="n">
        <v>-241321</v>
      </c>
      <c r="D16" s="23" t="n">
        <v>-292645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396991</v>
      </c>
      <c r="C19" s="23" t="n">
        <v>334731</v>
      </c>
      <c r="D19" s="23" t="n">
        <v>405921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B20*0.25</f>
        <v/>
      </c>
      <c r="C21" s="23">
        <f>C20*0.25</f>
        <v/>
      </c>
      <c r="D21" s="23">
        <f>D20*0.25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5905558</v>
      </c>
      <c r="C5" s="23" t="n">
        <v>6119286</v>
      </c>
      <c r="D5" s="21">
        <f>C5/B5</f>
        <v/>
      </c>
      <c r="E5" s="23" t="n">
        <v>5159600</v>
      </c>
      <c r="F5" s="23" t="n">
        <v>6256939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4219599</v>
      </c>
      <c r="C6" s="23" t="n">
        <v>4505836</v>
      </c>
      <c r="D6" s="21">
        <f>C6/B6</f>
        <v/>
      </c>
      <c r="E6" s="23" t="n">
        <v>3799187</v>
      </c>
      <c r="F6" s="23" t="n">
        <v>4607194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3986071</v>
      </c>
      <c r="C7" s="23" t="n">
        <v>3794217</v>
      </c>
      <c r="D7" s="21">
        <f>C7/B7</f>
        <v/>
      </c>
      <c r="E7" s="23" t="n">
        <v>3199171</v>
      </c>
      <c r="F7" s="23" t="n">
        <v>3879567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3017674</v>
      </c>
      <c r="C8" s="23" t="n">
        <v>2910792</v>
      </c>
      <c r="D8" s="21">
        <f>C8/B8</f>
        <v/>
      </c>
      <c r="E8" s="23" t="n">
        <v>2454293</v>
      </c>
      <c r="F8" s="23" t="n">
        <v>2976270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3317830</v>
      </c>
      <c r="C9" s="23" t="n">
        <v>3450520</v>
      </c>
      <c r="D9" s="21">
        <f>C9/B9</f>
        <v/>
      </c>
      <c r="E9" s="23" t="n">
        <v>2909376</v>
      </c>
      <c r="F9" s="23" t="n">
        <v>3528139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7929815</v>
      </c>
      <c r="C16" s="21">
        <f>B16/$B$20</f>
        <v/>
      </c>
    </row>
    <row r="17">
      <c r="A17" s="4" t="inlineStr">
        <is>
          <t>周边省份</t>
        </is>
      </c>
      <c r="B17" s="23" t="n">
        <v>5931485</v>
      </c>
      <c r="C17" s="21">
        <f>B17/$B$20</f>
        <v/>
      </c>
    </row>
    <row r="18">
      <c r="A18" s="4" t="inlineStr">
        <is>
          <t>线上直销</t>
        </is>
      </c>
      <c r="B18" s="23" t="n">
        <v>4039874</v>
      </c>
      <c r="C18" s="21">
        <f>B18/$B$20</f>
        <v/>
      </c>
    </row>
    <row r="19">
      <c r="A19" s="4" t="inlineStr">
        <is>
          <t>渠道代理</t>
        </is>
      </c>
      <c r="B19" s="23" t="n">
        <v>3120343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9</v>
      </c>
      <c r="C5" s="22" t="n">
        <v>0</v>
      </c>
      <c r="D5" s="22" t="n">
        <v>1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5</v>
      </c>
      <c r="C6" s="22" t="n">
        <v>0</v>
      </c>
      <c r="D6" s="22" t="n">
        <v>1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3</v>
      </c>
      <c r="C7" s="22" t="n">
        <v>0</v>
      </c>
      <c r="D7" s="22" t="n">
        <v>0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3</v>
      </c>
      <c r="C8" s="22" t="n">
        <v>0</v>
      </c>
      <c r="D8" s="22" t="n">
        <v>0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1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1</v>
      </c>
      <c r="D10" s="22" t="n">
        <v>0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7</v>
      </c>
    </row>
    <row r="15">
      <c r="A15" s="4" t="inlineStr">
        <is>
          <t>已到岗(人)</t>
        </is>
      </c>
      <c r="B15" s="41" t="n">
        <v>7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32.6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2379</v>
      </c>
      <c r="C5" s="22" t="n">
        <v>2530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0.8658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43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0.9819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0.8279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0.9848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0.9016999999999999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0.9472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何敏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2026-07-15T10:50:45Z</dcterms:created>
  <dcterms:modified xsi:type="dcterms:W3CDTF">2026-07-15T10:50:45Z</dcterms:modified>
</cp:coreProperties>
</file>