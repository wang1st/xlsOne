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昆明运营管理有限公司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昆明运营管理有限公司</t>
        </is>
      </c>
    </row>
    <row r="6">
      <c r="A6" s="3" t="inlineStr">
        <is>
          <t>所属区域</t>
        </is>
      </c>
      <c r="B6" s="4" t="inlineStr">
        <is>
          <t>西南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龚鹏</t>
        </is>
      </c>
    </row>
    <row r="11">
      <c r="A11" s="3" t="inlineStr">
        <is>
          <t>财务负责人</t>
        </is>
      </c>
      <c r="B11" s="4" t="inlineStr">
        <is>
          <t>汤丽</t>
        </is>
      </c>
    </row>
    <row r="12">
      <c r="A12" s="3" t="inlineStr">
        <is>
          <t>编　　制</t>
        </is>
      </c>
      <c r="B12" s="4" t="inlineStr">
        <is>
          <t>易涛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1088.2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133.3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12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108</v>
      </c>
      <c r="D12" s="22" t="n">
        <v>12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0.9237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0.9329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5495021</v>
      </c>
      <c r="C5" s="23" t="n">
        <v>4757594</v>
      </c>
      <c r="D5" s="23" t="n">
        <v>5179096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3087114</v>
      </c>
      <c r="C6" s="23" t="n">
        <v>2672826</v>
      </c>
      <c r="D6" s="23" t="n">
        <v>2909627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1600758</v>
      </c>
      <c r="C7" s="23" t="n">
        <v>1385938</v>
      </c>
      <c r="D7" s="23" t="n">
        <v>1508726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921315</v>
      </c>
      <c r="C8" s="23" t="n">
        <v>797675</v>
      </c>
      <c r="D8" s="23" t="n">
        <v>868346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6659480</v>
      </c>
      <c r="C10" s="23" t="n">
        <v>5765784</v>
      </c>
      <c r="D10" s="23" t="n">
        <v>6276607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446540</v>
      </c>
      <c r="C11" s="23" t="n">
        <v>386615</v>
      </c>
      <c r="D11" s="23" t="n">
        <v>420867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1854088</v>
      </c>
      <c r="C13" s="23" t="n">
        <v>1605271</v>
      </c>
      <c r="D13" s="23" t="n">
        <v>1747491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1337893</v>
      </c>
      <c r="C14" s="23" t="n">
        <v>1158349</v>
      </c>
      <c r="D14" s="23" t="n">
        <v>1260974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2258528</v>
      </c>
      <c r="C15" s="23" t="n">
        <v>1955435</v>
      </c>
      <c r="D15" s="23" t="n">
        <v>2128679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-1941</v>
      </c>
      <c r="C16" s="23" t="n">
        <v>-1681</v>
      </c>
      <c r="D16" s="23" t="n">
        <v>-1829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119514</v>
      </c>
      <c r="C19" s="23" t="n">
        <v>103475</v>
      </c>
      <c r="D19" s="23" t="n">
        <v>112643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2672214</v>
      </c>
      <c r="C5" s="23" t="n">
        <v>2633389</v>
      </c>
      <c r="D5" s="21">
        <f>C5/B5</f>
        <v/>
      </c>
      <c r="E5" s="23" t="n">
        <v>2279990</v>
      </c>
      <c r="F5" s="23" t="n">
        <v>2481988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1885214</v>
      </c>
      <c r="C6" s="23" t="n">
        <v>1934075</v>
      </c>
      <c r="D6" s="21">
        <f>C6/B6</f>
        <v/>
      </c>
      <c r="E6" s="23" t="n">
        <v>1674524</v>
      </c>
      <c r="F6" s="23" t="n">
        <v>1822879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1692287</v>
      </c>
      <c r="C7" s="23" t="n">
        <v>1647358</v>
      </c>
      <c r="D7" s="21">
        <f>C7/B7</f>
        <v/>
      </c>
      <c r="E7" s="23" t="n">
        <v>1426284</v>
      </c>
      <c r="F7" s="23" t="n">
        <v>1552647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1288059</v>
      </c>
      <c r="C8" s="23" t="n">
        <v>1215896</v>
      </c>
      <c r="D8" s="21">
        <f>C8/B8</f>
        <v/>
      </c>
      <c r="E8" s="23" t="n">
        <v>1052724</v>
      </c>
      <c r="F8" s="23" t="n">
        <v>1145991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1401214</v>
      </c>
      <c r="C9" s="23" t="n">
        <v>1473547</v>
      </c>
      <c r="D9" s="21">
        <f>C9/B9</f>
        <v/>
      </c>
      <c r="E9" s="23" t="n">
        <v>1275798</v>
      </c>
      <c r="F9" s="23" t="n">
        <v>1388828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3250741</v>
      </c>
      <c r="C16" s="21">
        <f>B16/$B$20</f>
        <v/>
      </c>
    </row>
    <row r="17">
      <c r="A17" s="4" t="inlineStr">
        <is>
          <t>周边省份</t>
        </is>
      </c>
      <c r="B17" s="23" t="n">
        <v>2293740</v>
      </c>
      <c r="C17" s="21">
        <f>B17/$B$20</f>
        <v/>
      </c>
    </row>
    <row r="18">
      <c r="A18" s="4" t="inlineStr">
        <is>
          <t>线上直销</t>
        </is>
      </c>
      <c r="B18" s="23" t="n">
        <v>1933656</v>
      </c>
      <c r="C18" s="21">
        <f>B18/$B$20</f>
        <v/>
      </c>
    </row>
    <row r="19">
      <c r="A19" s="4" t="inlineStr">
        <is>
          <t>渠道代理</t>
        </is>
      </c>
      <c r="B19" s="23" t="n">
        <v>1315381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5</v>
      </c>
      <c r="C5" s="22" t="n">
        <v>0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0</v>
      </c>
      <c r="D6" s="22" t="n">
        <v>0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0</v>
      </c>
      <c r="D7" s="22" t="n">
        <v>1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1</v>
      </c>
      <c r="D8" s="22" t="n">
        <v>1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0</v>
      </c>
      <c r="D9" s="22" t="n">
        <v>0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0</v>
      </c>
      <c r="D10" s="22" t="n">
        <v>1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5</v>
      </c>
    </row>
    <row r="15">
      <c r="A15" s="4" t="inlineStr">
        <is>
          <t>已到岗(人)</t>
        </is>
      </c>
      <c r="B15" s="41" t="n">
        <v>2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21.7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1054</v>
      </c>
      <c r="C5" s="22" t="n">
        <v>1320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0.8139999999999999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44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0.9807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0.8168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0.9237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0.9329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0.9005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汤丽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2026-07-15T10:50:52Z</dcterms:created>
  <dcterms:modified xsi:type="dcterms:W3CDTF">2026-07-15T10:50:52Z</dcterms:modified>
</cp:coreProperties>
</file>