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西安运营管理有限公司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西安运营管理有限公司</t>
        </is>
      </c>
    </row>
    <row r="6">
      <c r="A6" s="3" t="inlineStr">
        <is>
          <t>所属区域</t>
        </is>
      </c>
      <c r="B6" s="4" t="inlineStr">
        <is>
          <t>西北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袁磊</t>
        </is>
      </c>
    </row>
    <row r="11">
      <c r="A11" s="3" t="inlineStr">
        <is>
          <t>财务负责人</t>
        </is>
      </c>
      <c r="B11" s="4" t="inlineStr">
        <is>
          <t>顾敏</t>
        </is>
      </c>
    </row>
    <row r="12">
      <c r="A12" s="3" t="inlineStr">
        <is>
          <t>编　　制</t>
        </is>
      </c>
      <c r="B12" s="4" t="inlineStr">
        <is>
          <t>侯杰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1565.8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191.7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13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117</v>
      </c>
      <c r="D12" s="22" t="n">
        <v>13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0.9324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0.87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7676420</v>
      </c>
      <c r="C5" s="23" t="n">
        <v>6439950</v>
      </c>
      <c r="D5" s="23" t="n">
        <v>7897551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4483496</v>
      </c>
      <c r="C6" s="23" t="n">
        <v>3761322</v>
      </c>
      <c r="D6" s="23" t="n">
        <v>4612650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2483462</v>
      </c>
      <c r="C7" s="23" t="n">
        <v>2083441</v>
      </c>
      <c r="D7" s="23" t="n">
        <v>2555002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1334418</v>
      </c>
      <c r="C8" s="23" t="n">
        <v>1119478</v>
      </c>
      <c r="D8" s="23" t="n">
        <v>1372858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9654088</v>
      </c>
      <c r="C10" s="23" t="n">
        <v>8099067</v>
      </c>
      <c r="D10" s="23" t="n">
        <v>9932189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622174</v>
      </c>
      <c r="C11" s="23" t="n">
        <v>521958</v>
      </c>
      <c r="D11" s="23" t="n">
        <v>640097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2599997</v>
      </c>
      <c r="C13" s="23" t="n">
        <v>2181206</v>
      </c>
      <c r="D13" s="23" t="n">
        <v>2674894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1866564</v>
      </c>
      <c r="C14" s="23" t="n">
        <v>1565909</v>
      </c>
      <c r="D14" s="23" t="n">
        <v>1920333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2730841</v>
      </c>
      <c r="C15" s="23" t="n">
        <v>2290974</v>
      </c>
      <c r="D15" s="23" t="n">
        <v>2809507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-278639</v>
      </c>
      <c r="C16" s="23" t="n">
        <v>-233758</v>
      </c>
      <c r="D16" s="23" t="n">
        <v>-286666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106797</v>
      </c>
      <c r="C19" s="23" t="n">
        <v>89595</v>
      </c>
      <c r="D19" s="23" t="n">
        <v>109873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3793704</v>
      </c>
      <c r="C5" s="23" t="n">
        <v>3555641</v>
      </c>
      <c r="D5" s="21">
        <f>C5/B5</f>
        <v/>
      </c>
      <c r="E5" s="23" t="n">
        <v>2982920</v>
      </c>
      <c r="F5" s="23" t="n">
        <v>3658067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2753383</v>
      </c>
      <c r="C6" s="23" t="n">
        <v>2685256</v>
      </c>
      <c r="D6" s="21">
        <f>C6/B6</f>
        <v/>
      </c>
      <c r="E6" s="23" t="n">
        <v>2252732</v>
      </c>
      <c r="F6" s="23" t="n">
        <v>2762609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2204722</v>
      </c>
      <c r="C7" s="23" t="n">
        <v>2154492</v>
      </c>
      <c r="D7" s="21">
        <f>C7/B7</f>
        <v/>
      </c>
      <c r="E7" s="23" t="n">
        <v>1807460</v>
      </c>
      <c r="F7" s="23" t="n">
        <v>2216556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1714958</v>
      </c>
      <c r="C8" s="23" t="n">
        <v>1624990</v>
      </c>
      <c r="D8" s="21">
        <f>C8/B8</f>
        <v/>
      </c>
      <c r="E8" s="23" t="n">
        <v>1363247</v>
      </c>
      <c r="F8" s="23" t="n">
        <v>1671800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1993564</v>
      </c>
      <c r="C9" s="23" t="n">
        <v>1912174</v>
      </c>
      <c r="D9" s="21">
        <f>C9/B9</f>
        <v/>
      </c>
      <c r="E9" s="23" t="n">
        <v>1604173</v>
      </c>
      <c r="F9" s="23" t="n">
        <v>1967257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4395684</v>
      </c>
      <c r="C16" s="21">
        <f>B16/$B$20</f>
        <v/>
      </c>
    </row>
    <row r="17">
      <c r="A17" s="4" t="inlineStr">
        <is>
          <t>周边省份</t>
        </is>
      </c>
      <c r="B17" s="23" t="n">
        <v>3549357</v>
      </c>
      <c r="C17" s="21">
        <f>B17/$B$20</f>
        <v/>
      </c>
    </row>
    <row r="18">
      <c r="A18" s="4" t="inlineStr">
        <is>
          <t>线上直销</t>
        </is>
      </c>
      <c r="B18" s="23" t="n">
        <v>2274043</v>
      </c>
      <c r="C18" s="21">
        <f>B18/$B$20</f>
        <v/>
      </c>
    </row>
    <row r="19">
      <c r="A19" s="4" t="inlineStr">
        <is>
          <t>渠道代理</t>
        </is>
      </c>
      <c r="B19" s="23" t="n">
        <v>1809999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10</v>
      </c>
    </row>
    <row r="15">
      <c r="A15" s="4" t="inlineStr">
        <is>
          <t>已到岗(人)</t>
        </is>
      </c>
      <c r="B15" s="41" t="n">
        <v>10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20.8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1243</v>
      </c>
      <c r="C5" s="22" t="n">
        <v>1430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0.8293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33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0.9917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0.8329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0.9324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0.87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0.9648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顾敏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2026-07-15T10:50:48Z</dcterms:created>
  <dcterms:modified xsi:type="dcterms:W3CDTF">2026-07-15T10:50:48Z</dcterms:modified>
</cp:coreProperties>
</file>