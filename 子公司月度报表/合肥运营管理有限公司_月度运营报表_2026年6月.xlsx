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合肥运营管理有限公司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合肥运营管理有限公司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蔡磊</t>
        </is>
      </c>
    </row>
    <row r="11">
      <c r="A11" s="3" t="inlineStr">
        <is>
          <t>财务负责人</t>
        </is>
      </c>
      <c r="B11" s="4" t="inlineStr">
        <is>
          <t>武敏</t>
        </is>
      </c>
    </row>
    <row r="12">
      <c r="A12" s="3" t="inlineStr">
        <is>
          <t>编　　制</t>
        </is>
      </c>
      <c r="B12" s="4" t="inlineStr">
        <is>
          <t>田宇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1403.8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171.9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0.9333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0.9126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7206572</v>
      </c>
      <c r="C5" s="23" t="n">
        <v>5955845</v>
      </c>
      <c r="D5" s="23" t="n">
        <v>7235514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3887208</v>
      </c>
      <c r="C6" s="23" t="n">
        <v>3212569</v>
      </c>
      <c r="D6" s="23" t="n">
        <v>3902819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2136695</v>
      </c>
      <c r="C7" s="23" t="n">
        <v>1765864</v>
      </c>
      <c r="D7" s="23" t="n">
        <v>2145276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1093698</v>
      </c>
      <c r="C8" s="23" t="n">
        <v>903883</v>
      </c>
      <c r="D8" s="23" t="n">
        <v>1098090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8914088</v>
      </c>
      <c r="C10" s="23" t="n">
        <v>7367015</v>
      </c>
      <c r="D10" s="23" t="n">
        <v>8949888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516497</v>
      </c>
      <c r="C11" s="23" t="n">
        <v>426857</v>
      </c>
      <c r="D11" s="23" t="n">
        <v>518571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2579694</v>
      </c>
      <c r="C13" s="23" t="n">
        <v>2131979</v>
      </c>
      <c r="D13" s="23" t="n">
        <v>2590054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1793477</v>
      </c>
      <c r="C14" s="23" t="n">
        <v>1482212</v>
      </c>
      <c r="D14" s="23" t="n">
        <v>1800680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2740519</v>
      </c>
      <c r="C15" s="23" t="n">
        <v>2264892</v>
      </c>
      <c r="D15" s="23" t="n">
        <v>2751525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-125850</v>
      </c>
      <c r="C16" s="23" t="n">
        <v>-104008</v>
      </c>
      <c r="D16" s="23" t="n">
        <v>-126355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129195</v>
      </c>
      <c r="C19" s="23" t="n">
        <v>106773</v>
      </c>
      <c r="D19" s="23" t="n">
        <v>129714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3472072</v>
      </c>
      <c r="C5" s="23" t="n">
        <v>3303199</v>
      </c>
      <c r="D5" s="21">
        <f>C5/B5</f>
        <v/>
      </c>
      <c r="E5" s="23" t="n">
        <v>2729917</v>
      </c>
      <c r="F5" s="23" t="n">
        <v>3316465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2467244</v>
      </c>
      <c r="C6" s="23" t="n">
        <v>2442536</v>
      </c>
      <c r="D6" s="21">
        <f>C6/B6</f>
        <v/>
      </c>
      <c r="E6" s="23" t="n">
        <v>2018625</v>
      </c>
      <c r="F6" s="23" t="n">
        <v>2452345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1817546</v>
      </c>
      <c r="C7" s="23" t="n">
        <v>1900820</v>
      </c>
      <c r="D7" s="21">
        <f>C7/B7</f>
        <v/>
      </c>
      <c r="E7" s="23" t="n">
        <v>1570926</v>
      </c>
      <c r="F7" s="23" t="n">
        <v>1908454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1585246</v>
      </c>
      <c r="C8" s="23" t="n">
        <v>1599119</v>
      </c>
      <c r="D8" s="21">
        <f>C8/B8</f>
        <v/>
      </c>
      <c r="E8" s="23" t="n">
        <v>1321586</v>
      </c>
      <c r="F8" s="23" t="n">
        <v>1605541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1798302</v>
      </c>
      <c r="C9" s="23" t="n">
        <v>1705218</v>
      </c>
      <c r="D9" s="21">
        <f>C9/B9</f>
        <v/>
      </c>
      <c r="E9" s="23" t="n">
        <v>1409271</v>
      </c>
      <c r="F9" s="23" t="n">
        <v>1712066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4507865</v>
      </c>
      <c r="C16" s="21">
        <f>B16/$B$20</f>
        <v/>
      </c>
    </row>
    <row r="17">
      <c r="A17" s="4" t="inlineStr">
        <is>
          <t>周边省份</t>
        </is>
      </c>
      <c r="B17" s="23" t="n">
        <v>3136058</v>
      </c>
      <c r="C17" s="21">
        <f>B17/$B$20</f>
        <v/>
      </c>
    </row>
    <row r="18">
      <c r="A18" s="4" t="inlineStr">
        <is>
          <t>线上直销</t>
        </is>
      </c>
      <c r="B18" s="23" t="n">
        <v>2258485</v>
      </c>
      <c r="C18" s="21">
        <f>B18/$B$20</f>
        <v/>
      </c>
    </row>
    <row r="19">
      <c r="A19" s="4" t="inlineStr">
        <is>
          <t>渠道代理</t>
        </is>
      </c>
      <c r="B19" s="23" t="n">
        <v>1555577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1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0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1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8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20.8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1082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0.8736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35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0.9864000000000001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0.7848000000000001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0.9333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0.9126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0.9537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武敏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2026-07-15T10:50:50Z</dcterms:created>
  <dcterms:modified xsi:type="dcterms:W3CDTF">2026-07-15T10:50:50Z</dcterms:modified>
</cp:coreProperties>
</file>