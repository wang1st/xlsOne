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南宁运营管理有限公司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南宁运营管理有限公司</t>
        </is>
      </c>
    </row>
    <row r="6">
      <c r="A6" s="3" t="inlineStr">
        <is>
          <t>所属区域</t>
        </is>
      </c>
      <c r="B6" s="4" t="inlineStr">
        <is>
          <t>华南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温磊</t>
        </is>
      </c>
    </row>
    <row r="11">
      <c r="A11" s="3" t="inlineStr">
        <is>
          <t>财务负责人</t>
        </is>
      </c>
      <c r="B11" s="4" t="inlineStr">
        <is>
          <t>段雪</t>
        </is>
      </c>
    </row>
    <row r="12">
      <c r="A12" s="3" t="inlineStr">
        <is>
          <t>编　　制</t>
        </is>
      </c>
      <c r="B12" s="4" t="inlineStr">
        <is>
          <t>武杰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1092.2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133.7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0.9256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0.9139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5739254</v>
      </c>
      <c r="C5" s="23" t="n">
        <v>4727557</v>
      </c>
      <c r="D5" s="23" t="n">
        <v>5898514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2859445</v>
      </c>
      <c r="C6" s="23" t="n">
        <v>2355391</v>
      </c>
      <c r="D6" s="23" t="n">
        <v>2938792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1666842</v>
      </c>
      <c r="C7" s="23" t="n">
        <v>1373016</v>
      </c>
      <c r="D7" s="23" t="n">
        <v>1713096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879055</v>
      </c>
      <c r="C8" s="23" t="n">
        <v>724098</v>
      </c>
      <c r="D8" s="23" t="n">
        <v>903448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7148843</v>
      </c>
      <c r="C10" s="23" t="n">
        <v>5888668</v>
      </c>
      <c r="D10" s="23" t="n">
        <v>7347218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449742</v>
      </c>
      <c r="C11" s="23" t="n">
        <v>370463</v>
      </c>
      <c r="D11" s="23" t="n">
        <v>462222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1874501</v>
      </c>
      <c r="C13" s="23" t="n">
        <v>1544070</v>
      </c>
      <c r="D13" s="23" t="n">
        <v>1926517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1292238</v>
      </c>
      <c r="C14" s="23" t="n">
        <v>1064446</v>
      </c>
      <c r="D14" s="23" t="n">
        <v>1328097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2214064</v>
      </c>
      <c r="C15" s="23" t="n">
        <v>1823776</v>
      </c>
      <c r="D15" s="23" t="n">
        <v>2275503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-5191</v>
      </c>
      <c r="C16" s="23" t="n">
        <v>-4276</v>
      </c>
      <c r="D16" s="23" t="n">
        <v>-5335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102045</v>
      </c>
      <c r="C19" s="23" t="n">
        <v>84057</v>
      </c>
      <c r="D19" s="23" t="n">
        <v>104877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2743114</v>
      </c>
      <c r="C5" s="23" t="n">
        <v>2620672</v>
      </c>
      <c r="D5" s="21">
        <f>C5/B5</f>
        <v/>
      </c>
      <c r="E5" s="23" t="n">
        <v>2158708</v>
      </c>
      <c r="F5" s="23" t="n">
        <v>2693394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1819976</v>
      </c>
      <c r="C6" s="23" t="n">
        <v>1897981</v>
      </c>
      <c r="D6" s="21">
        <f>C6/B6</f>
        <v/>
      </c>
      <c r="E6" s="23" t="n">
        <v>1563411</v>
      </c>
      <c r="F6" s="23" t="n">
        <v>1950649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1533962</v>
      </c>
      <c r="C7" s="23" t="n">
        <v>1641880</v>
      </c>
      <c r="D7" s="21">
        <f>C7/B7</f>
        <v/>
      </c>
      <c r="E7" s="23" t="n">
        <v>1352455</v>
      </c>
      <c r="F7" s="23" t="n">
        <v>1687441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1233270</v>
      </c>
      <c r="C8" s="23" t="n">
        <v>1265418</v>
      </c>
      <c r="D8" s="21">
        <f>C8/B8</f>
        <v/>
      </c>
      <c r="E8" s="23" t="n">
        <v>1042354</v>
      </c>
      <c r="F8" s="23" t="n">
        <v>1300532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1437113</v>
      </c>
      <c r="C9" s="23" t="n">
        <v>1358765</v>
      </c>
      <c r="D9" s="21">
        <f>C9/B9</f>
        <v/>
      </c>
      <c r="E9" s="23" t="n">
        <v>1119246</v>
      </c>
      <c r="F9" s="23" t="n">
        <v>1396470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3450559</v>
      </c>
      <c r="C16" s="21">
        <f>B16/$B$20</f>
        <v/>
      </c>
    </row>
    <row r="17">
      <c r="A17" s="4" t="inlineStr">
        <is>
          <t>周边省份</t>
        </is>
      </c>
      <c r="B17" s="23" t="n">
        <v>2472935</v>
      </c>
      <c r="C17" s="21">
        <f>B17/$B$20</f>
        <v/>
      </c>
    </row>
    <row r="18">
      <c r="A18" s="4" t="inlineStr">
        <is>
          <t>线上直销</t>
        </is>
      </c>
      <c r="B18" s="23" t="n">
        <v>1811860</v>
      </c>
      <c r="C18" s="21">
        <f>B18/$B$20</f>
        <v/>
      </c>
    </row>
    <row r="19">
      <c r="A19" s="4" t="inlineStr">
        <is>
          <t>渠道代理</t>
        </is>
      </c>
      <c r="B19" s="23" t="n">
        <v>1397791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1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9</v>
      </c>
    </row>
    <row r="15">
      <c r="A15" s="4" t="inlineStr">
        <is>
          <t>已到岗(人)</t>
        </is>
      </c>
      <c r="B15" s="41" t="n">
        <v>3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29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1074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0.8168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28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0.984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0.8484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0.9256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0.9139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0.9206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段雪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2026-07-15T10:50:53Z</dcterms:created>
  <dcterms:modified xsi:type="dcterms:W3CDTF">2026-07-15T10:50:53Z</dcterms:modified>
</cp:coreProperties>
</file>