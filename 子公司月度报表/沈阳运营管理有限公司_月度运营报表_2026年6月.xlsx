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沈阳运营管理有限公司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沈阳运营管理有限公司</t>
        </is>
      </c>
    </row>
    <row r="6">
      <c r="A6" s="3" t="inlineStr">
        <is>
          <t>所属区域</t>
        </is>
      </c>
      <c r="B6" s="4" t="inlineStr">
        <is>
          <t>东北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阎磊</t>
        </is>
      </c>
    </row>
    <row r="11">
      <c r="A11" s="3" t="inlineStr">
        <is>
          <t>财务负责人</t>
        </is>
      </c>
      <c r="B11" s="4" t="inlineStr">
        <is>
          <t>邵敏</t>
        </is>
      </c>
    </row>
    <row r="12">
      <c r="A12" s="3" t="inlineStr">
        <is>
          <t>编　　制</t>
        </is>
      </c>
      <c r="B12" s="4" t="inlineStr">
        <is>
          <t>谭勇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1039.9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127.3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11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0.9256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0.9203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5261507</v>
      </c>
      <c r="C5" s="23" t="n">
        <v>4660325</v>
      </c>
      <c r="D5" s="23" t="n">
        <v>5251005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2804891</v>
      </c>
      <c r="C6" s="23" t="n">
        <v>2484403</v>
      </c>
      <c r="D6" s="23" t="n">
        <v>2799292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1620255</v>
      </c>
      <c r="C7" s="23" t="n">
        <v>1435124</v>
      </c>
      <c r="D7" s="23" t="n">
        <v>1617021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924302</v>
      </c>
      <c r="C8" s="23" t="n">
        <v>818691</v>
      </c>
      <c r="D8" s="23" t="n">
        <v>922457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6175045</v>
      </c>
      <c r="C10" s="23" t="n">
        <v>5469482</v>
      </c>
      <c r="D10" s="23" t="n">
        <v>6162720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358032</v>
      </c>
      <c r="C11" s="23" t="n">
        <v>317123</v>
      </c>
      <c r="D11" s="23" t="n">
        <v>357317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1592222</v>
      </c>
      <c r="C13" s="23" t="n">
        <v>1410294</v>
      </c>
      <c r="D13" s="23" t="n">
        <v>1589044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1357387</v>
      </c>
      <c r="C14" s="23" t="n">
        <v>1202291</v>
      </c>
      <c r="D14" s="23" t="n">
        <v>1354678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1944765</v>
      </c>
      <c r="C15" s="23" t="n">
        <v>1722555</v>
      </c>
      <c r="D15" s="23" t="n">
        <v>1940883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-172428</v>
      </c>
      <c r="C16" s="23" t="n">
        <v>-152726</v>
      </c>
      <c r="D16" s="23" t="n">
        <v>-172084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155992</v>
      </c>
      <c r="C19" s="23" t="n">
        <v>138168</v>
      </c>
      <c r="D19" s="23" t="n">
        <v>155681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2554253</v>
      </c>
      <c r="C5" s="23" t="n">
        <v>2512169</v>
      </c>
      <c r="D5" s="21">
        <f>C5/B5</f>
        <v/>
      </c>
      <c r="E5" s="23" t="n">
        <v>2225128</v>
      </c>
      <c r="F5" s="23" t="n">
        <v>2507155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1977922</v>
      </c>
      <c r="C6" s="23" t="n">
        <v>1965725</v>
      </c>
      <c r="D6" s="21">
        <f>C6/B6</f>
        <v/>
      </c>
      <c r="E6" s="23" t="n">
        <v>1741120</v>
      </c>
      <c r="F6" s="23" t="n">
        <v>1961801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1521691</v>
      </c>
      <c r="C7" s="23" t="n">
        <v>1629359</v>
      </c>
      <c r="D7" s="21">
        <f>C7/B7</f>
        <v/>
      </c>
      <c r="E7" s="23" t="n">
        <v>1443188</v>
      </c>
      <c r="F7" s="23" t="n">
        <v>1626107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1269899</v>
      </c>
      <c r="C8" s="23" t="n">
        <v>1244492</v>
      </c>
      <c r="D8" s="21">
        <f>C8/B8</f>
        <v/>
      </c>
      <c r="E8" s="23" t="n">
        <v>1102296</v>
      </c>
      <c r="F8" s="23" t="n">
        <v>1242008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1300491</v>
      </c>
      <c r="C9" s="23" t="n">
        <v>1397097</v>
      </c>
      <c r="D9" s="21">
        <f>C9/B9</f>
        <v/>
      </c>
      <c r="E9" s="23" t="n">
        <v>1237464</v>
      </c>
      <c r="F9" s="23" t="n">
        <v>1394308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3222008</v>
      </c>
      <c r="C16" s="21">
        <f>B16/$B$20</f>
        <v/>
      </c>
    </row>
    <row r="17">
      <c r="A17" s="4" t="inlineStr">
        <is>
          <t>周边省份</t>
        </is>
      </c>
      <c r="B17" s="23" t="n">
        <v>2419374</v>
      </c>
      <c r="C17" s="21">
        <f>B17/$B$20</f>
        <v/>
      </c>
    </row>
    <row r="18">
      <c r="A18" s="4" t="inlineStr">
        <is>
          <t>线上直销</t>
        </is>
      </c>
      <c r="B18" s="23" t="n">
        <v>1707848</v>
      </c>
      <c r="C18" s="21">
        <f>B18/$B$20</f>
        <v/>
      </c>
    </row>
    <row r="19">
      <c r="A19" s="4" t="inlineStr">
        <is>
          <t>渠道代理</t>
        </is>
      </c>
      <c r="B19" s="23" t="n">
        <v>1220511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1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6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21.2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1385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0.871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38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0.9862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0.8748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0.9256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0.9203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0.9071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邵敏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2026-07-15T10:50:51Z</dcterms:created>
  <dcterms:modified xsi:type="dcterms:W3CDTF">2026-07-15T10:50:51Z</dcterms:modified>
</cp:coreProperties>
</file>