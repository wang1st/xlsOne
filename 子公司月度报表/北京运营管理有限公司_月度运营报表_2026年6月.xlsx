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北京运营管理有限公司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北京运营管理有限公司</t>
        </is>
      </c>
    </row>
    <row r="6">
      <c r="A6" s="3" t="inlineStr">
        <is>
          <t>所属区域</t>
        </is>
      </c>
      <c r="B6" s="4" t="inlineStr">
        <is>
          <t>华北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赵磊</t>
        </is>
      </c>
    </row>
    <row r="11">
      <c r="A11" s="3" t="inlineStr">
        <is>
          <t>财务负责人</t>
        </is>
      </c>
      <c r="B11" s="4" t="inlineStr">
        <is>
          <t>孙倩</t>
        </is>
      </c>
    </row>
    <row r="12">
      <c r="A12" s="3" t="inlineStr">
        <is>
          <t>编　　制</t>
        </is>
      </c>
      <c r="B12" s="4" t="inlineStr">
        <is>
          <t>吴昊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2857.8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349.9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25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216</v>
      </c>
      <c r="D12" s="22" t="n">
        <v>23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0.9543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0.9044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14778975</v>
      </c>
      <c r="C5" s="23" t="n">
        <v>13113554</v>
      </c>
      <c r="D5" s="23" t="n">
        <v>14224230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7728112</v>
      </c>
      <c r="C6" s="23" t="n">
        <v>6857242</v>
      </c>
      <c r="D6" s="23" t="n">
        <v>7438029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4505445</v>
      </c>
      <c r="C7" s="23" t="n">
        <v>3997733</v>
      </c>
      <c r="D7" s="23" t="n">
        <v>4336328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2148904</v>
      </c>
      <c r="C8" s="23" t="n">
        <v>1906747</v>
      </c>
      <c r="D8" s="23" t="n">
        <v>2068243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18433537</v>
      </c>
      <c r="C10" s="23" t="n">
        <v>16356288</v>
      </c>
      <c r="D10" s="23" t="n">
        <v>17741614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925220</v>
      </c>
      <c r="C11" s="23" t="n">
        <v>820958</v>
      </c>
      <c r="D11" s="23" t="n">
        <v>890491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5080188</v>
      </c>
      <c r="C13" s="23" t="n">
        <v>4507709</v>
      </c>
      <c r="D13" s="23" t="n">
        <v>4889498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3209916</v>
      </c>
      <c r="C14" s="23" t="n">
        <v>2848195</v>
      </c>
      <c r="D14" s="23" t="n">
        <v>3089428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5078715</v>
      </c>
      <c r="C15" s="23" t="n">
        <v>4506402</v>
      </c>
      <c r="D15" s="23" t="n">
        <v>4888080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-9463</v>
      </c>
      <c r="C16" s="23" t="n">
        <v>-8397</v>
      </c>
      <c r="D16" s="23" t="n">
        <v>-9108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279931</v>
      </c>
      <c r="C19" s="23" t="n">
        <v>248386</v>
      </c>
      <c r="D19" s="23" t="n">
        <v>269423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6915505</v>
      </c>
      <c r="C5" s="23" t="n">
        <v>7283555</v>
      </c>
      <c r="D5" s="21">
        <f>C5/B5</f>
        <v/>
      </c>
      <c r="E5" s="23" t="n">
        <v>6462782</v>
      </c>
      <c r="F5" s="23" t="n">
        <v>7010159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5267664</v>
      </c>
      <c r="C6" s="23" t="n">
        <v>5102180</v>
      </c>
      <c r="D6" s="21">
        <f>C6/B6</f>
        <v/>
      </c>
      <c r="E6" s="23" t="n">
        <v>4527223</v>
      </c>
      <c r="F6" s="23" t="n">
        <v>4910664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4129795</v>
      </c>
      <c r="C7" s="23" t="n">
        <v>4066877</v>
      </c>
      <c r="D7" s="21">
        <f>C7/B7</f>
        <v/>
      </c>
      <c r="E7" s="23" t="n">
        <v>3608587</v>
      </c>
      <c r="F7" s="23" t="n">
        <v>3914222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3180409</v>
      </c>
      <c r="C8" s="23" t="n">
        <v>3353907</v>
      </c>
      <c r="D8" s="21">
        <f>C8/B8</f>
        <v/>
      </c>
      <c r="E8" s="23" t="n">
        <v>2975960</v>
      </c>
      <c r="F8" s="23" t="n">
        <v>3228014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3587180</v>
      </c>
      <c r="C9" s="23" t="n">
        <v>3781568</v>
      </c>
      <c r="D9" s="21">
        <f>C9/B9</f>
        <v/>
      </c>
      <c r="E9" s="23" t="n">
        <v>3355429</v>
      </c>
      <c r="F9" s="23" t="n">
        <v>3639623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8776453</v>
      </c>
      <c r="C16" s="21">
        <f>B16/$B$20</f>
        <v/>
      </c>
    </row>
    <row r="17">
      <c r="A17" s="4" t="inlineStr">
        <is>
          <t>周边省份</t>
        </is>
      </c>
      <c r="B17" s="23" t="n">
        <v>6092668</v>
      </c>
      <c r="C17" s="21">
        <f>B17/$B$20</f>
        <v/>
      </c>
    </row>
    <row r="18">
      <c r="A18" s="4" t="inlineStr">
        <is>
          <t>线上直销</t>
        </is>
      </c>
      <c r="B18" s="23" t="n">
        <v>4991337</v>
      </c>
      <c r="C18" s="21">
        <f>B18/$B$20</f>
        <v/>
      </c>
    </row>
    <row r="19">
      <c r="A19" s="4" t="inlineStr">
        <is>
          <t>渠道代理</t>
        </is>
      </c>
      <c r="B19" s="23" t="n">
        <v>3752429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10</v>
      </c>
      <c r="C5" s="22" t="n">
        <v>1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5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4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3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6</v>
      </c>
    </row>
    <row r="15">
      <c r="A15" s="4" t="inlineStr">
        <is>
          <t>已到岗(人)</t>
        </is>
      </c>
      <c r="B15" s="41" t="n">
        <v>5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21.9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2357</v>
      </c>
      <c r="C5" s="22" t="n">
        <v>2640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0.8282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42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0.9887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0.8522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0.9543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0.9044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0.9499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孙倩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2026-07-15T10:50:44Z</dcterms:created>
  <dcterms:modified xsi:type="dcterms:W3CDTF">2026-07-15T10:50:44Z</dcterms:modified>
</cp:coreProperties>
</file>