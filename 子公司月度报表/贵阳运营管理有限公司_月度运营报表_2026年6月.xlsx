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贵阳运营管理有限公司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贵阳运营管理有限公司</t>
        </is>
      </c>
    </row>
    <row r="6">
      <c r="A6" s="3" t="inlineStr">
        <is>
          <t>所属区域</t>
        </is>
      </c>
      <c r="B6" s="4" t="inlineStr">
        <is>
          <t>西南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文涛</t>
        </is>
      </c>
    </row>
    <row r="11">
      <c r="A11" s="3" t="inlineStr">
        <is>
          <t>财务负责人</t>
        </is>
      </c>
      <c r="B11" s="4" t="inlineStr">
        <is>
          <t>龙敏</t>
        </is>
      </c>
    </row>
    <row r="12">
      <c r="A12" s="3" t="inlineStr">
        <is>
          <t>编　　制</t>
        </is>
      </c>
      <c r="B12" s="4" t="inlineStr">
        <is>
          <t>常宇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1038.4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127.2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108</v>
      </c>
      <c r="D12" s="22" t="n">
        <v>12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0.9696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0.8825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5259905</v>
      </c>
      <c r="C5" s="23" t="n">
        <v>4565890</v>
      </c>
      <c r="D5" s="23" t="n">
        <v>5111667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2893104</v>
      </c>
      <c r="C6" s="23" t="n">
        <v>2511375</v>
      </c>
      <c r="D6" s="23" t="n">
        <v>2811569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1629832</v>
      </c>
      <c r="C7" s="23" t="n">
        <v>1414785</v>
      </c>
      <c r="D7" s="23" t="n">
        <v>1583899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813275</v>
      </c>
      <c r="C8" s="23" t="n">
        <v>705968</v>
      </c>
      <c r="D8" s="23" t="n">
        <v>790355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6553729</v>
      </c>
      <c r="C10" s="23" t="n">
        <v>5689001</v>
      </c>
      <c r="D10" s="23" t="n">
        <v>6369027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370141</v>
      </c>
      <c r="C11" s="23" t="n">
        <v>321303</v>
      </c>
      <c r="D11" s="23" t="n">
        <v>359709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1616646</v>
      </c>
      <c r="C13" s="23" t="n">
        <v>1403339</v>
      </c>
      <c r="D13" s="23" t="n">
        <v>1571085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1372965</v>
      </c>
      <c r="C14" s="23" t="n">
        <v>1191810</v>
      </c>
      <c r="D14" s="23" t="n">
        <v>1334271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2043716</v>
      </c>
      <c r="C15" s="23" t="n">
        <v>1774059</v>
      </c>
      <c r="D15" s="23" t="n">
        <v>1986119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-126579</v>
      </c>
      <c r="C16" s="23" t="n">
        <v>-109878</v>
      </c>
      <c r="D16" s="23" t="n">
        <v>-123012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69783</v>
      </c>
      <c r="C19" s="23" t="n">
        <v>60576</v>
      </c>
      <c r="D19" s="23" t="n">
        <v>67816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2405345</v>
      </c>
      <c r="C5" s="23" t="n">
        <v>2386164</v>
      </c>
      <c r="D5" s="21">
        <f>C5/B5</f>
        <v/>
      </c>
      <c r="E5" s="23" t="n">
        <v>2071323</v>
      </c>
      <c r="F5" s="23" t="n">
        <v>2318915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1998922</v>
      </c>
      <c r="C6" s="23" t="n">
        <v>1882037</v>
      </c>
      <c r="D6" s="21">
        <f>C6/B6</f>
        <v/>
      </c>
      <c r="E6" s="23" t="n">
        <v>1633713</v>
      </c>
      <c r="F6" s="23" t="n">
        <v>1828996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1454227</v>
      </c>
      <c r="C7" s="23" t="n">
        <v>1511622</v>
      </c>
      <c r="D7" s="21">
        <f>C7/B7</f>
        <v/>
      </c>
      <c r="E7" s="23" t="n">
        <v>1312172</v>
      </c>
      <c r="F7" s="23" t="n">
        <v>1469020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1174025</v>
      </c>
      <c r="C8" s="23" t="n">
        <v>1202626</v>
      </c>
      <c r="D8" s="21">
        <f>C8/B8</f>
        <v/>
      </c>
      <c r="E8" s="23" t="n">
        <v>1043946</v>
      </c>
      <c r="F8" s="23" t="n">
        <v>1168733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1314435</v>
      </c>
      <c r="C9" s="23" t="n">
        <v>1355787</v>
      </c>
      <c r="D9" s="21">
        <f>C9/B9</f>
        <v/>
      </c>
      <c r="E9" s="23" t="n">
        <v>1176898</v>
      </c>
      <c r="F9" s="23" t="n">
        <v>1317577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3249361</v>
      </c>
      <c r="C16" s="21">
        <f>B16/$B$20</f>
        <v/>
      </c>
    </row>
    <row r="17">
      <c r="A17" s="4" t="inlineStr">
        <is>
          <t>周边省份</t>
        </is>
      </c>
      <c r="B17" s="23" t="n">
        <v>2183969</v>
      </c>
      <c r="C17" s="21">
        <f>B17/$B$20</f>
        <v/>
      </c>
    </row>
    <row r="18">
      <c r="A18" s="4" t="inlineStr">
        <is>
          <t>线上直销</t>
        </is>
      </c>
      <c r="B18" s="23" t="n">
        <v>1752987</v>
      </c>
      <c r="C18" s="21">
        <f>B18/$B$20</f>
        <v/>
      </c>
    </row>
    <row r="19">
      <c r="A19" s="4" t="inlineStr">
        <is>
          <t>渠道代理</t>
        </is>
      </c>
      <c r="B19" s="23" t="n">
        <v>1218418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5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3</v>
      </c>
      <c r="C6" s="22" t="n">
        <v>1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2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1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0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9</v>
      </c>
    </row>
    <row r="15">
      <c r="A15" s="4" t="inlineStr">
        <is>
          <t>已到岗(人)</t>
        </is>
      </c>
      <c r="B15" s="41" t="n">
        <v>3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23.2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1350</v>
      </c>
      <c r="C5" s="22" t="n">
        <v>1320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0.8088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31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0.9891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0.7722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0.9696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0.8825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0.9446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龙敏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2026-07-15T10:50:52Z</dcterms:created>
  <dcterms:modified xsi:type="dcterms:W3CDTF">2026-07-15T10:50:53Z</dcterms:modified>
</cp:coreProperties>
</file>