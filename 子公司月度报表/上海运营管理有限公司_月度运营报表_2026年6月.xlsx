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上海运营管理有限公司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上海运营管理有限公司</t>
        </is>
      </c>
    </row>
    <row r="6">
      <c r="A6" s="3" t="inlineStr">
        <is>
          <t>所属区域</t>
        </is>
      </c>
      <c r="B6" s="4" t="inlineStr">
        <is>
          <t>华东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周明</t>
        </is>
      </c>
    </row>
    <row r="11">
      <c r="A11" s="3" t="inlineStr">
        <is>
          <t>财务负责人</t>
        </is>
      </c>
      <c r="B11" s="4" t="inlineStr">
        <is>
          <t>李婷</t>
        </is>
      </c>
    </row>
    <row r="12">
      <c r="A12" s="3" t="inlineStr">
        <is>
          <t>编　　制</t>
        </is>
      </c>
      <c r="B12" s="4" t="inlineStr">
        <is>
          <t>王磊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3977.5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487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0.2125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35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306</v>
      </c>
      <c r="D12" s="22" t="n">
        <v>34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0.9543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0.8658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19568406</v>
      </c>
      <c r="C5" s="23" t="n">
        <v>17001222</v>
      </c>
      <c r="D5" s="23" t="n">
        <v>20090766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11443522</v>
      </c>
      <c r="C6" s="23" t="n">
        <v>9942243</v>
      </c>
      <c r="D6" s="23" t="n">
        <v>11748996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6253919</v>
      </c>
      <c r="C7" s="23" t="n">
        <v>5433466</v>
      </c>
      <c r="D7" s="23" t="n">
        <v>6420861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3320936</v>
      </c>
      <c r="C8" s="23" t="n">
        <v>2885262</v>
      </c>
      <c r="D8" s="23" t="n">
        <v>3409585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24916998</v>
      </c>
      <c r="C10" s="23" t="n">
        <v>21648130</v>
      </c>
      <c r="D10" s="23" t="n">
        <v>25582133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1458119</v>
      </c>
      <c r="C11" s="23" t="n">
        <v>1266828</v>
      </c>
      <c r="D11" s="23" t="n">
        <v>1497042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6751191</v>
      </c>
      <c r="C13" s="23" t="n">
        <v>5865500</v>
      </c>
      <c r="D13" s="23" t="n">
        <v>6931408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5320085</v>
      </c>
      <c r="C14" s="23" t="n">
        <v>4622142</v>
      </c>
      <c r="D14" s="23" t="n">
        <v>5462100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7196640</v>
      </c>
      <c r="C15" s="23" t="n">
        <v>6252511</v>
      </c>
      <c r="D15" s="23" t="n">
        <v>7388747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-105334</v>
      </c>
      <c r="C16" s="23" t="n">
        <v>-91515</v>
      </c>
      <c r="D16" s="23" t="n">
        <v>-108146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482481</v>
      </c>
      <c r="C19" s="23" t="n">
        <v>419184</v>
      </c>
      <c r="D19" s="23" t="n">
        <v>495360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B20*0.25</f>
        <v/>
      </c>
      <c r="C21" s="23">
        <f>C20*0.25</f>
        <v/>
      </c>
      <c r="D21" s="23">
        <f>D20*0.25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9468420</v>
      </c>
      <c r="C5" s="23" t="n">
        <v>9783610</v>
      </c>
      <c r="D5" s="21">
        <f>C5/B5</f>
        <v/>
      </c>
      <c r="E5" s="23" t="n">
        <v>8500096</v>
      </c>
      <c r="F5" s="23" t="n">
        <v>10044774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6698639</v>
      </c>
      <c r="C6" s="23" t="n">
        <v>7003768</v>
      </c>
      <c r="D6" s="21">
        <f>C6/B6</f>
        <v/>
      </c>
      <c r="E6" s="23" t="n">
        <v>6084942</v>
      </c>
      <c r="F6" s="23" t="n">
        <v>7190727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5916678</v>
      </c>
      <c r="C7" s="23" t="n">
        <v>6049381</v>
      </c>
      <c r="D7" s="21">
        <f>C7/B7</f>
        <v/>
      </c>
      <c r="E7" s="23" t="n">
        <v>5255761</v>
      </c>
      <c r="F7" s="23" t="n">
        <v>6210863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4196902</v>
      </c>
      <c r="C8" s="23" t="n">
        <v>4335024</v>
      </c>
      <c r="D8" s="21">
        <f>C8/B8</f>
        <v/>
      </c>
      <c r="E8" s="23" t="n">
        <v>3766311</v>
      </c>
      <c r="F8" s="23" t="n">
        <v>4450743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5348584</v>
      </c>
      <c r="C9" s="23" t="n">
        <v>5374041</v>
      </c>
      <c r="D9" s="21">
        <f>C9/B9</f>
        <v/>
      </c>
      <c r="E9" s="23" t="n">
        <v>4669019</v>
      </c>
      <c r="F9" s="23" t="n">
        <v>5517496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12122478</v>
      </c>
      <c r="C16" s="21">
        <f>B16/$B$20</f>
        <v/>
      </c>
    </row>
    <row r="17">
      <c r="A17" s="4" t="inlineStr">
        <is>
          <t>周边省份</t>
        </is>
      </c>
      <c r="B17" s="23" t="n">
        <v>9300010</v>
      </c>
      <c r="C17" s="21">
        <f>B17/$B$20</f>
        <v/>
      </c>
    </row>
    <row r="18">
      <c r="A18" s="4" t="inlineStr">
        <is>
          <t>线上直销</t>
        </is>
      </c>
      <c r="B18" s="23" t="n">
        <v>6761885</v>
      </c>
      <c r="C18" s="21">
        <f>B18/$B$20</f>
        <v/>
      </c>
    </row>
    <row r="19">
      <c r="A19" s="4" t="inlineStr">
        <is>
          <t>渠道代理</t>
        </is>
      </c>
      <c r="B19" s="23" t="n">
        <v>4769692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14</v>
      </c>
      <c r="C5" s="22" t="n">
        <v>1</v>
      </c>
      <c r="D5" s="22" t="n">
        <v>0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7</v>
      </c>
      <c r="C6" s="22" t="n">
        <v>1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5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4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0</v>
      </c>
      <c r="D9" s="22" t="n">
        <v>0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0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7</v>
      </c>
    </row>
    <row r="15">
      <c r="A15" s="4" t="inlineStr">
        <is>
          <t>已到岗(人)</t>
        </is>
      </c>
      <c r="B15" s="41" t="n">
        <v>5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32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3393</v>
      </c>
      <c r="C5" s="22" t="n">
        <v>3740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0.8631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45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0.9785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0.8485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0.9543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0.8658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0.9473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李婷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2026-07-15T10:50:43Z</dcterms:created>
  <dcterms:modified xsi:type="dcterms:W3CDTF">2026-07-15T10:50:43Z</dcterms:modified>
</cp:coreProperties>
</file>