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乌鲁木齐运营管理有限公司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乌鲁木齐运营管理有限公司</t>
        </is>
      </c>
    </row>
    <row r="6">
      <c r="A6" s="3" t="inlineStr">
        <is>
          <t>所属区域</t>
        </is>
      </c>
      <c r="B6" s="4" t="inlineStr">
        <is>
          <t>西北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裴磊</t>
        </is>
      </c>
    </row>
    <row r="11">
      <c r="A11" s="3" t="inlineStr">
        <is>
          <t>财务负责人</t>
        </is>
      </c>
      <c r="B11" s="4" t="inlineStr">
        <is>
          <t>尤敏</t>
        </is>
      </c>
    </row>
    <row r="12">
      <c r="A12" s="3" t="inlineStr">
        <is>
          <t>编　　制</t>
        </is>
      </c>
      <c r="B12" s="4" t="inlineStr">
        <is>
          <t>安杰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1080.2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132.3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0.2125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11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0.9452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0.9303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5518626</v>
      </c>
      <c r="C5" s="23" t="n">
        <v>4598855</v>
      </c>
      <c r="D5" s="23" t="n">
        <v>5568745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3003758</v>
      </c>
      <c r="C6" s="23" t="n">
        <v>2503132</v>
      </c>
      <c r="D6" s="23" t="n">
        <v>3031037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1635010</v>
      </c>
      <c r="C7" s="23" t="n">
        <v>1362508</v>
      </c>
      <c r="D7" s="23" t="n">
        <v>1649859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864830</v>
      </c>
      <c r="C8" s="23" t="n">
        <v>720692</v>
      </c>
      <c r="D8" s="23" t="n">
        <v>872684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6522122</v>
      </c>
      <c r="C10" s="23" t="n">
        <v>5435102</v>
      </c>
      <c r="D10" s="23" t="n">
        <v>6581354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398187</v>
      </c>
      <c r="C11" s="23" t="n">
        <v>331822</v>
      </c>
      <c r="D11" s="23" t="n">
        <v>401803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1849652</v>
      </c>
      <c r="C13" s="23" t="n">
        <v>1541377</v>
      </c>
      <c r="D13" s="23" t="n">
        <v>1866450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1377037</v>
      </c>
      <c r="C14" s="23" t="n">
        <v>1147531</v>
      </c>
      <c r="D14" s="23" t="n">
        <v>1389543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1914436</v>
      </c>
      <c r="C15" s="23" t="n">
        <v>1595363</v>
      </c>
      <c r="D15" s="23" t="n">
        <v>1931822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-47642</v>
      </c>
      <c r="C16" s="23" t="n">
        <v>-39702</v>
      </c>
      <c r="D16" s="23" t="n">
        <v>-48075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137681</v>
      </c>
      <c r="C19" s="23" t="n">
        <v>114734</v>
      </c>
      <c r="D19" s="23" t="n">
        <v>138931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B20*0.25</f>
        <v/>
      </c>
      <c r="C21" s="23">
        <f>C20*0.25</f>
        <v/>
      </c>
      <c r="D21" s="23">
        <f>D20*0.25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2424586</v>
      </c>
      <c r="C5" s="23" t="n">
        <v>2587424</v>
      </c>
      <c r="D5" s="21">
        <f>C5/B5</f>
        <v/>
      </c>
      <c r="E5" s="23" t="n">
        <v>2156187</v>
      </c>
      <c r="F5" s="23" t="n">
        <v>2610922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1887907</v>
      </c>
      <c r="C6" s="23" t="n">
        <v>1988277</v>
      </c>
      <c r="D6" s="21">
        <f>C6/B6</f>
        <v/>
      </c>
      <c r="E6" s="23" t="n">
        <v>1656898</v>
      </c>
      <c r="F6" s="23" t="n">
        <v>2006334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1699719</v>
      </c>
      <c r="C7" s="23" t="n">
        <v>1680107</v>
      </c>
      <c r="D7" s="21">
        <f>C7/B7</f>
        <v/>
      </c>
      <c r="E7" s="23" t="n">
        <v>1400089</v>
      </c>
      <c r="F7" s="23" t="n">
        <v>1695365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1333892</v>
      </c>
      <c r="C8" s="23" t="n">
        <v>1261649</v>
      </c>
      <c r="D8" s="21">
        <f>C8/B8</f>
        <v/>
      </c>
      <c r="E8" s="23" t="n">
        <v>1051374</v>
      </c>
      <c r="F8" s="23" t="n">
        <v>1273107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1395276</v>
      </c>
      <c r="C9" s="23" t="n">
        <v>1490330</v>
      </c>
      <c r="D9" s="21">
        <f>C9/B9</f>
        <v/>
      </c>
      <c r="E9" s="23" t="n">
        <v>1241942</v>
      </c>
      <c r="F9" s="23" t="n">
        <v>1503865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3597723</v>
      </c>
      <c r="C16" s="21">
        <f>B16/$B$20</f>
        <v/>
      </c>
    </row>
    <row r="17">
      <c r="A17" s="4" t="inlineStr">
        <is>
          <t>周边省份</t>
        </is>
      </c>
      <c r="B17" s="23" t="n">
        <v>2524581</v>
      </c>
      <c r="C17" s="21">
        <f>B17/$B$20</f>
        <v/>
      </c>
    </row>
    <row r="18">
      <c r="A18" s="4" t="inlineStr">
        <is>
          <t>线上直销</t>
        </is>
      </c>
      <c r="B18" s="23" t="n">
        <v>1927652</v>
      </c>
      <c r="C18" s="21">
        <f>B18/$B$20</f>
        <v/>
      </c>
    </row>
    <row r="19">
      <c r="A19" s="4" t="inlineStr">
        <is>
          <t>渠道代理</t>
        </is>
      </c>
      <c r="B19" s="23" t="n">
        <v>1367833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10</v>
      </c>
    </row>
    <row r="15">
      <c r="A15" s="4" t="inlineStr">
        <is>
          <t>已到岗(人)</t>
        </is>
      </c>
      <c r="B15" s="41" t="n">
        <v>10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19.5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1162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0.9074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33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0.99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0.8482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0.9452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0.9303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0.9185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尤敏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2026-07-15T10:50:54Z</dcterms:created>
  <dcterms:modified xsi:type="dcterms:W3CDTF">2026-07-15T10:50:54Z</dcterms:modified>
</cp:coreProperties>
</file>