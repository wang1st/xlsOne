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南京运营管理有限公司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南京运营管理有限公司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杨帆</t>
        </is>
      </c>
    </row>
    <row r="11">
      <c r="A11" s="3" t="inlineStr">
        <is>
          <t>财务负责人</t>
        </is>
      </c>
      <c r="B11" s="4" t="inlineStr">
        <is>
          <t>吴静</t>
        </is>
      </c>
    </row>
    <row r="12">
      <c r="A12" s="3" t="inlineStr">
        <is>
          <t>编　　制</t>
        </is>
      </c>
      <c r="B12" s="4" t="inlineStr">
        <is>
          <t>罗斌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2475.2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303.1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22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189</v>
      </c>
      <c r="D12" s="22" t="n">
        <v>22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0.9834000000000001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0.8819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12463412</v>
      </c>
      <c r="C5" s="23" t="n">
        <v>11049124</v>
      </c>
      <c r="D5" s="23" t="n">
        <v>11903927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6715697</v>
      </c>
      <c r="C6" s="23" t="n">
        <v>5953632</v>
      </c>
      <c r="D6" s="23" t="n">
        <v>6414228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3941229</v>
      </c>
      <c r="C7" s="23" t="n">
        <v>3493997</v>
      </c>
      <c r="D7" s="23" t="n">
        <v>3764307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2136433</v>
      </c>
      <c r="C8" s="23" t="n">
        <v>1894001</v>
      </c>
      <c r="D8" s="23" t="n">
        <v>2040528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14786463</v>
      </c>
      <c r="C10" s="23" t="n">
        <v>13108566</v>
      </c>
      <c r="D10" s="23" t="n">
        <v>14122696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850443</v>
      </c>
      <c r="C11" s="23" t="n">
        <v>753939</v>
      </c>
      <c r="D11" s="23" t="n">
        <v>812266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4564956</v>
      </c>
      <c r="C13" s="23" t="n">
        <v>4046947</v>
      </c>
      <c r="D13" s="23" t="n">
        <v>4360034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3335788</v>
      </c>
      <c r="C14" s="23" t="n">
        <v>2957259</v>
      </c>
      <c r="D14" s="23" t="n">
        <v>3186044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4951689</v>
      </c>
      <c r="C15" s="23" t="n">
        <v>4389795</v>
      </c>
      <c r="D15" s="23" t="n">
        <v>4729407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-414605</v>
      </c>
      <c r="C16" s="23" t="n">
        <v>-367558</v>
      </c>
      <c r="D16" s="23" t="n">
        <v>-395993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423314</v>
      </c>
      <c r="C19" s="23" t="n">
        <v>375278</v>
      </c>
      <c r="D19" s="23" t="n">
        <v>404311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6283666</v>
      </c>
      <c r="C5" s="23" t="n">
        <v>6190253</v>
      </c>
      <c r="D5" s="21">
        <f>C5/B5</f>
        <v/>
      </c>
      <c r="E5" s="23" t="n">
        <v>5487813</v>
      </c>
      <c r="F5" s="23" t="n">
        <v>5912372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4157061</v>
      </c>
      <c r="C6" s="23" t="n">
        <v>4328259</v>
      </c>
      <c r="D6" s="21">
        <f>C6/B6</f>
        <v/>
      </c>
      <c r="E6" s="23" t="n">
        <v>3837109</v>
      </c>
      <c r="F6" s="23" t="n">
        <v>4133963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3420086</v>
      </c>
      <c r="C7" s="23" t="n">
        <v>3382267</v>
      </c>
      <c r="D7" s="21">
        <f>C7/B7</f>
        <v/>
      </c>
      <c r="E7" s="23" t="n">
        <v>2998464</v>
      </c>
      <c r="F7" s="23" t="n">
        <v>3230436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2731696</v>
      </c>
      <c r="C8" s="23" t="n">
        <v>2803037</v>
      </c>
      <c r="D8" s="21">
        <f>C8/B8</f>
        <v/>
      </c>
      <c r="E8" s="23" t="n">
        <v>2484962</v>
      </c>
      <c r="F8" s="23" t="n">
        <v>2677208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2805433</v>
      </c>
      <c r="C9" s="23" t="n">
        <v>3012228</v>
      </c>
      <c r="D9" s="21">
        <f>C9/B9</f>
        <v/>
      </c>
      <c r="E9" s="23" t="n">
        <v>2670415</v>
      </c>
      <c r="F9" s="23" t="n">
        <v>2877009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7393856</v>
      </c>
      <c r="C16" s="21">
        <f>B16/$B$20</f>
        <v/>
      </c>
    </row>
    <row r="17">
      <c r="A17" s="4" t="inlineStr">
        <is>
          <t>周边省份</t>
        </is>
      </c>
      <c r="B17" s="23" t="n">
        <v>4905993</v>
      </c>
      <c r="C17" s="21">
        <f>B17/$B$20</f>
        <v/>
      </c>
    </row>
    <row r="18">
      <c r="A18" s="4" t="inlineStr">
        <is>
          <t>线上直销</t>
        </is>
      </c>
      <c r="B18" s="23" t="n">
        <v>3660493</v>
      </c>
      <c r="C18" s="21">
        <f>B18/$B$20</f>
        <v/>
      </c>
    </row>
    <row r="19">
      <c r="A19" s="4" t="inlineStr">
        <is>
          <t>渠道代理</t>
        </is>
      </c>
      <c r="B19" s="23" t="n">
        <v>3192979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8</v>
      </c>
      <c r="C5" s="22" t="n">
        <v>0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5</v>
      </c>
      <c r="C6" s="22" t="n">
        <v>1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3</v>
      </c>
      <c r="C7" s="22" t="n">
        <v>1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3</v>
      </c>
      <c r="C8" s="22" t="n">
        <v>0</v>
      </c>
      <c r="D8" s="22" t="n">
        <v>0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0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9</v>
      </c>
    </row>
    <row r="15">
      <c r="A15" s="4" t="inlineStr">
        <is>
          <t>已到岗(人)</t>
        </is>
      </c>
      <c r="B15" s="41" t="n">
        <v>2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33.1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2326</v>
      </c>
      <c r="C5" s="22" t="n">
        <v>2310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0.9113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35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0.9762999999999999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0.8024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0.9834000000000001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0.8819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0.9721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吴静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2026-07-15T10:50:45Z</dcterms:created>
  <dcterms:modified xsi:type="dcterms:W3CDTF">2026-07-15T10:50:46Z</dcterms:modified>
</cp:coreProperties>
</file>