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苏州运营管理有限公司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苏州运营管理有限公司</t>
        </is>
      </c>
    </row>
    <row r="6">
      <c r="A6" s="3" t="inlineStr">
        <is>
          <t>所属区域</t>
        </is>
      </c>
      <c r="B6" s="4" t="inlineStr">
        <is>
          <t>华东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徐强</t>
        </is>
      </c>
    </row>
    <row r="11">
      <c r="A11" s="3" t="inlineStr">
        <is>
          <t>财务负责人</t>
        </is>
      </c>
      <c r="B11" s="4" t="inlineStr">
        <is>
          <t>朱丽</t>
        </is>
      </c>
    </row>
    <row r="12">
      <c r="A12" s="3" t="inlineStr">
        <is>
          <t>编　　制</t>
        </is>
      </c>
      <c r="B12" s="4" t="inlineStr">
        <is>
          <t>高峰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2483.3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304.1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22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189</v>
      </c>
      <c r="D12" s="22" t="n">
        <v>20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0.9813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0.8679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13076138</v>
      </c>
      <c r="C5" s="23" t="n">
        <v>11759117</v>
      </c>
      <c r="D5" s="23" t="n">
        <v>13397682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6578717</v>
      </c>
      <c r="C6" s="23" t="n">
        <v>5916112</v>
      </c>
      <c r="D6" s="23" t="n">
        <v>6740489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3598740</v>
      </c>
      <c r="C7" s="23" t="n">
        <v>3236277</v>
      </c>
      <c r="D7" s="23" t="n">
        <v>3687234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2085888</v>
      </c>
      <c r="C8" s="23" t="n">
        <v>1875799</v>
      </c>
      <c r="D8" s="23" t="n">
        <v>2137180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14798726</v>
      </c>
      <c r="C10" s="23" t="n">
        <v>13308207</v>
      </c>
      <c r="D10" s="23" t="n">
        <v>15162629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1037397</v>
      </c>
      <c r="C11" s="23" t="n">
        <v>932911</v>
      </c>
      <c r="D11" s="23" t="n">
        <v>1062907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3807322</v>
      </c>
      <c r="C13" s="23" t="n">
        <v>3423851</v>
      </c>
      <c r="D13" s="23" t="n">
        <v>3900945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2930082</v>
      </c>
      <c r="C14" s="23" t="n">
        <v>2634966</v>
      </c>
      <c r="D14" s="23" t="n">
        <v>3002133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4644237</v>
      </c>
      <c r="C15" s="23" t="n">
        <v>4176472</v>
      </c>
      <c r="D15" s="23" t="n">
        <v>4758440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164012</v>
      </c>
      <c r="C16" s="23" t="n">
        <v>147493</v>
      </c>
      <c r="D16" s="23" t="n">
        <v>168045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349497</v>
      </c>
      <c r="C19" s="23" t="n">
        <v>314296</v>
      </c>
      <c r="D19" s="23" t="n">
        <v>358091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5242042</v>
      </c>
      <c r="C5" s="23" t="n">
        <v>5544139</v>
      </c>
      <c r="D5" s="21">
        <f>C5/B5</f>
        <v/>
      </c>
      <c r="E5" s="23" t="n">
        <v>4985737</v>
      </c>
      <c r="F5" s="23" t="n">
        <v>5680470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4341117</v>
      </c>
      <c r="C6" s="23" t="n">
        <v>4151293</v>
      </c>
      <c r="D6" s="21">
        <f>C6/B6</f>
        <v/>
      </c>
      <c r="E6" s="23" t="n">
        <v>3733177</v>
      </c>
      <c r="F6" s="23" t="n">
        <v>4253374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3364787</v>
      </c>
      <c r="C7" s="23" t="n">
        <v>3461486</v>
      </c>
      <c r="D7" s="21">
        <f>C7/B7</f>
        <v/>
      </c>
      <c r="E7" s="23" t="n">
        <v>3112847</v>
      </c>
      <c r="F7" s="23" t="n">
        <v>3546605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2664747</v>
      </c>
      <c r="C8" s="23" t="n">
        <v>2648090</v>
      </c>
      <c r="D8" s="21">
        <f>C8/B8</f>
        <v/>
      </c>
      <c r="E8" s="23" t="n">
        <v>2381376</v>
      </c>
      <c r="F8" s="23" t="n">
        <v>2713207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2963118</v>
      </c>
      <c r="C9" s="23" t="n">
        <v>3183527</v>
      </c>
      <c r="D9" s="21">
        <f>C9/B9</f>
        <v/>
      </c>
      <c r="E9" s="23" t="n">
        <v>2862884</v>
      </c>
      <c r="F9" s="23" t="n">
        <v>3261810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7030028</v>
      </c>
      <c r="C16" s="21">
        <f>B16/$B$20</f>
        <v/>
      </c>
    </row>
    <row r="17">
      <c r="A17" s="4" t="inlineStr">
        <is>
          <t>周边省份</t>
        </is>
      </c>
      <c r="B17" s="23" t="n">
        <v>4801139</v>
      </c>
      <c r="C17" s="21">
        <f>B17/$B$20</f>
        <v/>
      </c>
    </row>
    <row r="18">
      <c r="A18" s="4" t="inlineStr">
        <is>
          <t>线上直销</t>
        </is>
      </c>
      <c r="B18" s="23" t="n">
        <v>3664530</v>
      </c>
      <c r="C18" s="21">
        <f>B18/$B$20</f>
        <v/>
      </c>
    </row>
    <row r="19">
      <c r="A19" s="4" t="inlineStr">
        <is>
          <t>渠道代理</t>
        </is>
      </c>
      <c r="B19" s="23" t="n">
        <v>3065345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8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5</v>
      </c>
      <c r="C6" s="22" t="n">
        <v>1</v>
      </c>
      <c r="D6" s="22" t="n">
        <v>1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3</v>
      </c>
      <c r="C7" s="22" t="n">
        <v>1</v>
      </c>
      <c r="D7" s="22" t="n">
        <v>1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3</v>
      </c>
      <c r="C8" s="22" t="n">
        <v>0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0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8</v>
      </c>
    </row>
    <row r="15">
      <c r="A15" s="4" t="inlineStr">
        <is>
          <t>已到岗(人)</t>
        </is>
      </c>
      <c r="B15" s="41" t="n">
        <v>4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33.3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2441</v>
      </c>
      <c r="C5" s="22" t="n">
        <v>2310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0.855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43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0.9876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0.8027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0.9813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0.8679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0.9503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朱丽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2026-07-15T10:50:46Z</dcterms:created>
  <dcterms:modified xsi:type="dcterms:W3CDTF">2026-07-15T10:50:46Z</dcterms:modified>
</cp:coreProperties>
</file>