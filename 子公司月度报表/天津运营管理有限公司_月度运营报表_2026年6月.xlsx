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天津运营管理有限公司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天津运营管理有限公司</t>
        </is>
      </c>
    </row>
    <row r="6">
      <c r="A6" s="3" t="inlineStr">
        <is>
          <t>所属区域</t>
        </is>
      </c>
      <c r="B6" s="4" t="inlineStr">
        <is>
          <t>华北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王鹏</t>
        </is>
      </c>
    </row>
    <row r="11">
      <c r="A11" s="3" t="inlineStr">
        <is>
          <t>财务负责人</t>
        </is>
      </c>
      <c r="B11" s="4" t="inlineStr">
        <is>
          <t>李雪</t>
        </is>
      </c>
    </row>
    <row r="12">
      <c r="A12" s="3" t="inlineStr">
        <is>
          <t>编　　制</t>
        </is>
      </c>
      <c r="B12" s="4" t="inlineStr">
        <is>
          <t>郑凯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2786.9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341.3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0.2125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25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216</v>
      </c>
      <c r="D12" s="22" t="n">
        <v>24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0.9761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0.9371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13863833</v>
      </c>
      <c r="C5" s="23" t="n">
        <v>12150599</v>
      </c>
      <c r="D5" s="23" t="n">
        <v>13103812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7962160</v>
      </c>
      <c r="C6" s="23" t="n">
        <v>6978230</v>
      </c>
      <c r="D6" s="23" t="n">
        <v>7525671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4158389</v>
      </c>
      <c r="C7" s="23" t="n">
        <v>3644513</v>
      </c>
      <c r="D7" s="23" t="n">
        <v>3930424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2453251</v>
      </c>
      <c r="C8" s="23" t="n">
        <v>2150089</v>
      </c>
      <c r="D8" s="23" t="n">
        <v>2318763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16745873</v>
      </c>
      <c r="C10" s="23" t="n">
        <v>14676488</v>
      </c>
      <c r="D10" s="23" t="n">
        <v>15827857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1081504</v>
      </c>
      <c r="C11" s="23" t="n">
        <v>947856</v>
      </c>
      <c r="D11" s="23" t="n">
        <v>1022216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4282215</v>
      </c>
      <c r="C13" s="23" t="n">
        <v>3753037</v>
      </c>
      <c r="D13" s="23" t="n">
        <v>4047462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3311695</v>
      </c>
      <c r="C14" s="23" t="n">
        <v>2902450</v>
      </c>
      <c r="D14" s="23" t="n">
        <v>3130147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5641781</v>
      </c>
      <c r="C15" s="23" t="n">
        <v>4944593</v>
      </c>
      <c r="D15" s="23" t="n">
        <v>5332496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-162591</v>
      </c>
      <c r="C16" s="23" t="n">
        <v>-142499</v>
      </c>
      <c r="D16" s="23" t="n">
        <v>-153678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296057</v>
      </c>
      <c r="C19" s="23" t="n">
        <v>259472</v>
      </c>
      <c r="D19" s="23" t="n">
        <v>279827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B20*0.25</f>
        <v/>
      </c>
      <c r="C21" s="23">
        <f>C20*0.25</f>
        <v/>
      </c>
      <c r="D21" s="23">
        <f>D20*0.25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6409905</v>
      </c>
      <c r="C5" s="23" t="n">
        <v>6583445</v>
      </c>
      <c r="D5" s="21">
        <f>C5/B5</f>
        <v/>
      </c>
      <c r="E5" s="23" t="n">
        <v>5769890</v>
      </c>
      <c r="F5" s="23" t="n">
        <v>6222538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4963704</v>
      </c>
      <c r="C6" s="23" t="n">
        <v>5055556</v>
      </c>
      <c r="D6" s="21">
        <f>C6/B6</f>
        <v/>
      </c>
      <c r="E6" s="23" t="n">
        <v>4430812</v>
      </c>
      <c r="F6" s="23" t="n">
        <v>4778408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4250633</v>
      </c>
      <c r="C7" s="23" t="n">
        <v>4102517</v>
      </c>
      <c r="D7" s="21">
        <f>C7/B7</f>
        <v/>
      </c>
      <c r="E7" s="23" t="n">
        <v>3595545</v>
      </c>
      <c r="F7" s="23" t="n">
        <v>3877615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3064274</v>
      </c>
      <c r="C8" s="23" t="n">
        <v>3189545</v>
      </c>
      <c r="D8" s="21">
        <f>C8/B8</f>
        <v/>
      </c>
      <c r="E8" s="23" t="n">
        <v>2795394</v>
      </c>
      <c r="F8" s="23" t="n">
        <v>3014693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3660104</v>
      </c>
      <c r="C9" s="23" t="n">
        <v>3766623</v>
      </c>
      <c r="D9" s="21">
        <f>C9/B9</f>
        <v/>
      </c>
      <c r="E9" s="23" t="n">
        <v>3301160</v>
      </c>
      <c r="F9" s="23" t="n">
        <v>3560135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7989921</v>
      </c>
      <c r="C16" s="21">
        <f>B16/$B$20</f>
        <v/>
      </c>
    </row>
    <row r="17">
      <c r="A17" s="4" t="inlineStr">
        <is>
          <t>周边省份</t>
        </is>
      </c>
      <c r="B17" s="23" t="n">
        <v>6322737</v>
      </c>
      <c r="C17" s="21">
        <f>B17/$B$20</f>
        <v/>
      </c>
    </row>
    <row r="18">
      <c r="A18" s="4" t="inlineStr">
        <is>
          <t>线上直销</t>
        </is>
      </c>
      <c r="B18" s="23" t="n">
        <v>4845303</v>
      </c>
      <c r="C18" s="21">
        <f>B18/$B$20</f>
        <v/>
      </c>
    </row>
    <row r="19">
      <c r="A19" s="4" t="inlineStr">
        <is>
          <t>渠道代理</t>
        </is>
      </c>
      <c r="B19" s="23" t="n">
        <v>3513625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10</v>
      </c>
      <c r="C5" s="22" t="n">
        <v>0</v>
      </c>
      <c r="D5" s="22" t="n">
        <v>0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5</v>
      </c>
      <c r="C6" s="22" t="n">
        <v>1</v>
      </c>
      <c r="D6" s="22" t="n">
        <v>1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4</v>
      </c>
      <c r="C7" s="22" t="n">
        <v>0</v>
      </c>
      <c r="D7" s="22" t="n">
        <v>1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3</v>
      </c>
      <c r="C8" s="22" t="n">
        <v>1</v>
      </c>
      <c r="D8" s="22" t="n">
        <v>0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1</v>
      </c>
      <c r="D9" s="22" t="n">
        <v>0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0</v>
      </c>
      <c r="D10" s="22" t="n">
        <v>1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8</v>
      </c>
    </row>
    <row r="15">
      <c r="A15" s="4" t="inlineStr">
        <is>
          <t>已到岗(人)</t>
        </is>
      </c>
      <c r="B15" s="41" t="n">
        <v>2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30.2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2307</v>
      </c>
      <c r="C5" s="22" t="n">
        <v>2640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0.9005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34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0.9877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0.7806999999999999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0.9761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0.9371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0.9438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李雪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2026-07-15T10:50:44Z</dcterms:created>
  <dcterms:modified xsi:type="dcterms:W3CDTF">2026-07-15T10:50:44Z</dcterms:modified>
</cp:coreProperties>
</file>