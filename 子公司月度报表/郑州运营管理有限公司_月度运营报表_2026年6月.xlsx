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郑州运营管理有限公司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郑州运营管理有限公司</t>
        </is>
      </c>
    </row>
    <row r="6">
      <c r="A6" s="3" t="inlineStr">
        <is>
          <t>所属区域</t>
        </is>
      </c>
      <c r="B6" s="4" t="inlineStr">
        <is>
          <t>华中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魏鹏</t>
        </is>
      </c>
    </row>
    <row r="11">
      <c r="A11" s="3" t="inlineStr">
        <is>
          <t>财务负责人</t>
        </is>
      </c>
      <c r="B11" s="4" t="inlineStr">
        <is>
          <t>尹雪</t>
        </is>
      </c>
    </row>
    <row r="12">
      <c r="A12" s="3" t="inlineStr">
        <is>
          <t>编　　制</t>
        </is>
      </c>
      <c r="B12" s="4" t="inlineStr">
        <is>
          <t>邹凯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1299.3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159.1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12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0.9489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0.927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6649073</v>
      </c>
      <c r="C5" s="23" t="n">
        <v>5842771</v>
      </c>
      <c r="D5" s="23" t="n">
        <v>6819562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3506740</v>
      </c>
      <c r="C6" s="23" t="n">
        <v>3081494</v>
      </c>
      <c r="D6" s="23" t="n">
        <v>3596656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2050738</v>
      </c>
      <c r="C7" s="23" t="n">
        <v>1802054</v>
      </c>
      <c r="D7" s="23" t="n">
        <v>2103321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1051603</v>
      </c>
      <c r="C8" s="23" t="n">
        <v>924080</v>
      </c>
      <c r="D8" s="23" t="n">
        <v>1078567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7887907</v>
      </c>
      <c r="C10" s="23" t="n">
        <v>6931377</v>
      </c>
      <c r="D10" s="23" t="n">
        <v>8090161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470111</v>
      </c>
      <c r="C11" s="23" t="n">
        <v>413103</v>
      </c>
      <c r="D11" s="23" t="n">
        <v>482165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2358043</v>
      </c>
      <c r="C13" s="23" t="n">
        <v>2072094</v>
      </c>
      <c r="D13" s="23" t="n">
        <v>2418506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1735096</v>
      </c>
      <c r="C14" s="23" t="n">
        <v>1524689</v>
      </c>
      <c r="D14" s="23" t="n">
        <v>1779586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2303671</v>
      </c>
      <c r="C15" s="23" t="n">
        <v>2024315</v>
      </c>
      <c r="D15" s="23" t="n">
        <v>2362739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-77926</v>
      </c>
      <c r="C16" s="23" t="n">
        <v>-68476</v>
      </c>
      <c r="D16" s="23" t="n">
        <v>-79924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148875</v>
      </c>
      <c r="C19" s="23" t="n">
        <v>130822</v>
      </c>
      <c r="D19" s="23" t="n">
        <v>152692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2771247</v>
      </c>
      <c r="C5" s="23" t="n">
        <v>2957455</v>
      </c>
      <c r="D5" s="21">
        <f>C5/B5</f>
        <v/>
      </c>
      <c r="E5" s="23" t="n">
        <v>2598818</v>
      </c>
      <c r="F5" s="23" t="n">
        <v>3033287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2008983</v>
      </c>
      <c r="C6" s="23" t="n">
        <v>2140005</v>
      </c>
      <c r="D6" s="21">
        <f>C6/B6</f>
        <v/>
      </c>
      <c r="E6" s="23" t="n">
        <v>1880496</v>
      </c>
      <c r="F6" s="23" t="n">
        <v>2194877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1831461</v>
      </c>
      <c r="C7" s="23" t="n">
        <v>1855612</v>
      </c>
      <c r="D7" s="21">
        <f>C7/B7</f>
        <v/>
      </c>
      <c r="E7" s="23" t="n">
        <v>1630591</v>
      </c>
      <c r="F7" s="23" t="n">
        <v>1903192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1458786</v>
      </c>
      <c r="C8" s="23" t="n">
        <v>1398728</v>
      </c>
      <c r="D8" s="21">
        <f>C8/B8</f>
        <v/>
      </c>
      <c r="E8" s="23" t="n">
        <v>1229111</v>
      </c>
      <c r="F8" s="23" t="n">
        <v>1434593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1587736</v>
      </c>
      <c r="C9" s="23" t="n">
        <v>1655864</v>
      </c>
      <c r="D9" s="21">
        <f>C9/B9</f>
        <v/>
      </c>
      <c r="E9" s="23" t="n">
        <v>1455065</v>
      </c>
      <c r="F9" s="23" t="n">
        <v>1698322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3677050</v>
      </c>
      <c r="C16" s="21">
        <f>B16/$B$20</f>
        <v/>
      </c>
    </row>
    <row r="17">
      <c r="A17" s="4" t="inlineStr">
        <is>
          <t>周边省份</t>
        </is>
      </c>
      <c r="B17" s="23" t="n">
        <v>2505027</v>
      </c>
      <c r="C17" s="21">
        <f>B17/$B$20</f>
        <v/>
      </c>
    </row>
    <row r="18">
      <c r="A18" s="4" t="inlineStr">
        <is>
          <t>线上直销</t>
        </is>
      </c>
      <c r="B18" s="23" t="n">
        <v>2102280</v>
      </c>
      <c r="C18" s="21">
        <f>B18/$B$20</f>
        <v/>
      </c>
    </row>
    <row r="19">
      <c r="A19" s="4" t="inlineStr">
        <is>
          <t>渠道代理</t>
        </is>
      </c>
      <c r="B19" s="23" t="n">
        <v>1469871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0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1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0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9</v>
      </c>
    </row>
    <row r="15">
      <c r="A15" s="4" t="inlineStr">
        <is>
          <t>已到岗(人)</t>
        </is>
      </c>
      <c r="B15" s="41" t="n">
        <v>4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25.8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1319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0.8133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37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0.9916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0.8738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0.9489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0.927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0.9225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尹雪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2026-07-15T10:50:50Z</dcterms:created>
  <dcterms:modified xsi:type="dcterms:W3CDTF">2026-07-15T10:50:50Z</dcterms:modified>
</cp:coreProperties>
</file>